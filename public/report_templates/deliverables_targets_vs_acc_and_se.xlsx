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ABLES-TARGETS VS ACC &amp;SE" sheetId="1" r:id="rId4"/>
  </sheets>
  <definedNames/>
  <calcPr/>
</workbook>
</file>

<file path=xl/sharedStrings.xml><?xml version="1.0" encoding="utf-8"?>
<sst xmlns="http://schemas.openxmlformats.org/spreadsheetml/2006/main" count="150" uniqueCount="120">
  <si>
    <t>ACTUAL ACCOMPLISHMENTS PER MONTH ON DELIVERABLES</t>
  </si>
  <si>
    <t>DELIVERABLES/PLANNED ACTIVITIES</t>
  </si>
  <si>
    <t>SET TARGETS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</si>
  <si>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</si>
  <si>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</si>
  <si>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</si>
  <si>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</si>
  <si>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</si>
  <si>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</si>
  <si>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</si>
  <si>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</si>
  <si>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</si>
  <si>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</si>
  <si>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</si>
  <si>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</si>
  <si>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</si>
  <si>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FULFILLMENT</t>
  </si>
  <si>
    <t>ADMINISTRATION  SPC /OIC  /SDW's</t>
  </si>
  <si>
    <t>Attends Monthly and Special staff meeting</t>
  </si>
  <si>
    <t>Submission of minutes of the meeting</t>
  </si>
  <si>
    <t>Submission of quarterly accomplishment</t>
  </si>
  <si>
    <t>Council of leaders meeting</t>
  </si>
  <si>
    <t>Supervision / Coaching /mentoring of staff</t>
  </si>
  <si>
    <t>Supervision / Coaching /mentoring of  leaders</t>
  </si>
  <si>
    <t>Webinar</t>
  </si>
  <si>
    <t>Community prayer</t>
  </si>
  <si>
    <t>staff wellness</t>
  </si>
  <si>
    <t>Seminars and trainings</t>
  </si>
  <si>
    <t>Processing of business permits and other licenses</t>
  </si>
  <si>
    <t>SHG /area visits 20 shg per year</t>
  </si>
  <si>
    <t>Scholars meeting and monitoring</t>
  </si>
  <si>
    <t xml:space="preserve">COA meeting </t>
  </si>
  <si>
    <t>other activities</t>
  </si>
  <si>
    <t xml:space="preserve">PROGRAM  SDW's </t>
  </si>
  <si>
    <t>Assistance During Calamities (calamity fund)</t>
  </si>
  <si>
    <t>Case Management (</t>
  </si>
  <si>
    <t>1. Presence of organized and systematic filing of SMs folders (labelled as CONFIDENTIAL)</t>
  </si>
  <si>
    <t>2. Keeps the following files per SMs folders in the subprojects:</t>
  </si>
  <si>
    <t>a. Intake sheet with intervention plans</t>
  </si>
  <si>
    <t>b.Sponsorship MOU with the child and or family</t>
  </si>
  <si>
    <t>c. Family records / sponsors update request (can be printed )</t>
  </si>
  <si>
    <t>d. Regular letters and photos</t>
  </si>
  <si>
    <t>e. Signed Monthly Child Progress Report</t>
  </si>
  <si>
    <t>f. Signed Social Case study report as needed /Assessment form</t>
  </si>
  <si>
    <t>g. Home/school visit reports (as Needed) PS Survey (Life Map)</t>
  </si>
  <si>
    <t>h. Case Closure Report - Terminated sms</t>
  </si>
  <si>
    <t>3. Checking of quarterly benefit logs and Goal booklet of the SMs</t>
  </si>
  <si>
    <t>4. Presence of Printed PS accomplishments and results per SHGs/Clusters</t>
  </si>
  <si>
    <t>5. Profile of Sponsored Members and beneficiary served file per Program or special projects.</t>
  </si>
  <si>
    <t>6. Child's Accounts file</t>
  </si>
  <si>
    <t>7. Updated Profile of cell group and its members</t>
  </si>
  <si>
    <t>8. Updated Skills inventory re: profile of parents, CGs, Scholars</t>
  </si>
  <si>
    <t>9. Resource mapping file within and outside the community</t>
  </si>
  <si>
    <t>10. Minutes of the meeting per COAs, Sectoral grps, and SHGs</t>
  </si>
  <si>
    <t>11. Filing of activity photos/videos documentation</t>
  </si>
  <si>
    <t>14. Community profiles (barangay, municipal, city)</t>
  </si>
  <si>
    <t>15. Updated family records</t>
  </si>
  <si>
    <t>Child Protection Training</t>
  </si>
  <si>
    <t>Community Plans (SHG/SPU)</t>
  </si>
  <si>
    <t>CNF Assessment (using the assistance fund form)</t>
  </si>
  <si>
    <t>Evaluation Reports (During your SHG SPU )</t>
  </si>
  <si>
    <t>Home Visit Report Through PS survey</t>
  </si>
  <si>
    <t>Intervention Reports</t>
  </si>
  <si>
    <t>Minutes of Meetings With Agenda (SHG, SPU, Dept. Heads, C.U. Staff Assemmbly, National Activities)</t>
  </si>
  <si>
    <t>Monthly Time Plans (STAFF)</t>
  </si>
  <si>
    <t>MOU's (Partners,/Stakeholders)</t>
  </si>
  <si>
    <t>Needs Analysis with Community</t>
  </si>
  <si>
    <t>Profile of Volunteers (SHG/SPU level)</t>
  </si>
  <si>
    <t>Program and Serrvices Implementation (Activities documentations, Narrative/ SHG/SPU and National)</t>
  </si>
  <si>
    <t>Sponsorship contract (per case folder)</t>
  </si>
  <si>
    <t>Updated Benefericari list (per SDW/ National) pls. update on the google sheet base from DSWD inventory case load</t>
  </si>
  <si>
    <t>PSLA STATISTICS</t>
  </si>
  <si>
    <t>DATA</t>
  </si>
  <si>
    <t>Number of SHGs</t>
  </si>
  <si>
    <t>Number of PSLA Accounts</t>
  </si>
  <si>
    <t>TOTAL SAVINGS (2010 TO 2024)</t>
  </si>
  <si>
    <t>TOTAL MATCHING GRANTS (2010 TO 2024)</t>
  </si>
  <si>
    <t>LOAN INTENTIONS/PURPOSES (PSLA)</t>
  </si>
  <si>
    <t>New Loans [Members]</t>
  </si>
  <si>
    <t>New Loans [Amount]</t>
  </si>
  <si>
    <t>Reloans [Members]</t>
  </si>
  <si>
    <t>Reloans [Amount]</t>
  </si>
  <si>
    <t>Initial Capital [Members]</t>
  </si>
  <si>
    <t>Initial Capital [Amount]</t>
  </si>
  <si>
    <t>Additional Capital [Members]</t>
  </si>
  <si>
    <t>Emergency Loan/Hospitalization [Members]</t>
  </si>
  <si>
    <t>Emergency Loan/Hospitalization [Amount]</t>
  </si>
  <si>
    <t>Medicine [Members]</t>
  </si>
  <si>
    <t>Medicine [Amount]</t>
  </si>
  <si>
    <t>Home related [Members]</t>
  </si>
  <si>
    <t>Home related [Amount]</t>
  </si>
  <si>
    <t>Education [Members]</t>
  </si>
  <si>
    <t>Education [Amount]</t>
  </si>
  <si>
    <t>Family Needs [Members]</t>
  </si>
  <si>
    <t>Family Needs [Amount]</t>
  </si>
  <si>
    <t>Group livelihood [Members]</t>
  </si>
  <si>
    <t>Group livelihood [Amount]</t>
  </si>
  <si>
    <t>Investment to Coop [Members]</t>
  </si>
  <si>
    <t>Investment to Coop [Amount]</t>
  </si>
  <si>
    <t>OTHER LOAN INTENTIONS</t>
  </si>
  <si>
    <t>CURRENT LOAN DELINQUENCIES (PSLA)</t>
  </si>
  <si>
    <t>UPDATED AS OF:</t>
  </si>
  <si>
    <t>Number of Members</t>
  </si>
  <si>
    <t>Total Amount</t>
  </si>
  <si>
    <t>MONITORING WITH COOPERATIVES</t>
  </si>
  <si>
    <t>CURRENT NUMBER OF  REGULAR MEMBERS</t>
  </si>
  <si>
    <t>CURRENT NUMBER OF ASSOCIATE MEMBERS</t>
  </si>
  <si>
    <t>CURRENT SHARE CAPITAL</t>
  </si>
  <si>
    <t>INTEREST ON SHARE CAPITAL</t>
  </si>
  <si>
    <t>TOTAL PATRONAGE REFUND</t>
  </si>
  <si>
    <t>ACCOUNTS RECEIVABLES [MEMBERS]</t>
  </si>
  <si>
    <t>ACCOUNTS RECEIVABLES [AMOUNT]</t>
  </si>
  <si>
    <t>ACCOUNTS PAYABLE</t>
  </si>
  <si>
    <t>LOAN RELEASES [MEMBERS]</t>
  </si>
  <si>
    <t>LOAN RELEASES [AMOUNT]</t>
  </si>
  <si>
    <t>FOR THE YEAR 2025</t>
  </si>
  <si>
    <t>SAVINGS [MEMBERS]</t>
  </si>
  <si>
    <t>SAVINGS [AMOUNT]</t>
  </si>
  <si>
    <t>MG [MEMBERS]</t>
  </si>
  <si>
    <t>MG [AMOUNT]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</si>
</sst>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6.0"/>
      <color theme="1"/>
      <name val="Arial"/>
    </font>
    <font>
      <color theme="1"/>
      <name val="Arial"/>
    </font>
    <font>
      <sz val="16.0"/>
      <color rgb="FF000000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vertical="center" wrapText="1"/>
    </xf>
    <xf borderId="0" fillId="2" fontId="2" numFmtId="0" xfId="0" applyFill="1" applyFon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1" fillId="0" fontId="2" numFmtId="49" xfId="0" applyAlignment="1" applyBorder="1" applyFont="1" applyNumberFormat="1">
      <alignment horizontal="center" shrinkToFit="0" vertical="center" wrapText="0"/>
    </xf>
    <xf borderId="2" fillId="3" fontId="3" numFmtId="0" xfId="0" applyAlignment="1" applyBorder="1" applyFill="1" applyFont="1">
      <alignment shrinkToFit="0" vertical="bottom" wrapText="1"/>
    </xf>
    <xf borderId="1" fillId="0" fontId="1" numFmtId="0" xfId="0" applyAlignment="1" applyBorder="1" applyFont="1">
      <alignment shrinkToFit="0" vertical="center" wrapText="0"/>
    </xf>
    <xf borderId="1" fillId="0" fontId="2" numFmtId="10" xfId="0" applyAlignment="1" applyBorder="1" applyFont="1" applyNumberFormat="1">
      <alignment horizontal="center" shrinkToFit="0" vertical="center" wrapText="0"/>
    </xf>
    <xf borderId="3" fillId="0" fontId="4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4" fontId="4" numFmtId="0" xfId="0" applyAlignment="1" applyBorder="1" applyFill="1" applyFont="1">
      <alignment shrinkToFit="0" vertical="bottom" wrapText="1"/>
    </xf>
    <xf borderId="5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5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left" shrinkToFit="0" vertical="center" wrapText="0"/>
    </xf>
    <xf borderId="6" fillId="0" fontId="2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3" pivot="0" name="DELIVERABLES-TARGETS VS ACC &amp;SE-style">
      <tableStyleElement dxfId="1" type="headerRow"/>
      <tableStyleElement dxfId="2" type="firstRowStripe"/>
      <tableStyleElement dxfId="3" type="secondRowStripe"/>
    </tableStyle>
    <tableStyle count="3" pivot="0" name="DELIVERABLES-TARGETS VS ACC &amp;SE-style 2">
      <tableStyleElement dxfId="1" type="headerRow"/>
      <tableStyleElement dxfId="2" type="firstRowStripe"/>
      <tableStyleElement dxfId="3" type="secondRowStripe"/>
    </tableStyle>
    <tableStyle count="3" pivot="0" name="DELIVERABLES-TARGETS VS ACC &amp;SE-style 3">
      <tableStyleElement dxfId="1" type="headerRow"/>
      <tableStyleElement dxfId="2" type="firstRowStripe"/>
      <tableStyleElement dxfId="3" type="secondRowStripe"/>
    </tableStyle>
    <tableStyle count="3" pivot="0" name="DELIVERABLES-TARGETS VS ACC &amp;SE-style 4">
      <tableStyleElement dxfId="1" type="headerRow"/>
      <tableStyleElement dxfId="2" type="firstRowStripe"/>
      <tableStyleElement dxfId="3" type="secondRowStripe"/>
    </tableStyle>
    <tableStyle count="3" pivot="0" name="DELIVERABLES-TARGETS VS ACC &amp;SE-style 5">
      <tableStyleElement dxfId="1" type="headerRow"/>
      <tableStyleElement dxfId="2" type="firstRowStripe"/>
      <tableStyleElement dxfId="3" type="secondRowStripe"/>
    </tableStyle>
    <tableStyle count="3" pivot="0" name="DELIVERABLES-TARGETS VS ACC &amp;SE-style 6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Q63" displayName="Table_1" name="Table_1" id="1">
  <tableColumns count="16">
    <tableColumn name="DELIVERABLES/PLANNED ACTIVITIES" id="1"/>
    <tableColumn name="SET TARGETS" id="2"/>
    <tableColumn name="JANUARY" id="3"/>
    <tableColumn name="FEBRUARY" id="4"/>
    <tableColumn name="MARCH" id="5"/>
    <tableColumn name="APRIL" id="6"/>
    <tableColumn name="MAY" id="7"/>
    <tableColumn name="JUNE" id="8"/>
    <tableColumn name="JULY" id="9"/>
    <tableColumn name="AUGUST" id="10"/>
    <tableColumn name="SEPTEMBER" id="11"/>
    <tableColumn name="OCTOBER" id="12"/>
    <tableColumn name="NOVEMBER" id="13"/>
    <tableColumn name="DECEMBER" id="14"/>
    <tableColumn name="TOTAL" id="15"/>
    <tableColumn name="FULFILLMENT" id="16"/>
  </tableColumns>
  <tableStyleInfo name="DELIVERABLES-TARGETS VS ACC &amp;SE-style" showColumnStripes="0" showFirstColumn="1" showLastColumn="1" showRowStripes="1"/>
</table>
</file>

<file path=xl/tables/table2.xml><?xml version="1.0" encoding="utf-8"?>
<table xmlns="http://schemas.openxmlformats.org/spreadsheetml/2006/main" ref="B65:C69" displayName="Table_2" name="Table_2" id="2">
  <tableColumns count="2">
    <tableColumn name="PSLA STATISTICS" id="1"/>
    <tableColumn name="DATA" id="2"/>
  </tableColumns>
  <tableStyleInfo name="DELIVERABLES-TARGETS VS ACC &amp;SE-style 2" showColumnStripes="0" showFirstColumn="1" showLastColumn="1" showRowStripes="1"/>
</table>
</file>

<file path=xl/tables/table3.xml><?xml version="1.0" encoding="utf-8"?>
<table xmlns="http://schemas.openxmlformats.org/spreadsheetml/2006/main" ref="B71:O94" displayName="Table_3" name="Table_3" id="3">
  <tableColumns count="14">
    <tableColumn name="LOAN INTENTIONS/PURPOSES (PSLA)" id="1"/>
    <tableColumn name="JANUARY" id="2"/>
    <tableColumn name="FEBRUARY" id="3"/>
    <tableColumn name="MARCH" id="4"/>
    <tableColumn name="APRIL" id="5"/>
    <tableColumn name="MAY" id="6"/>
    <tableColumn name="JUNE" id="7"/>
    <tableColumn name="JULY" id="8"/>
    <tableColumn name="AUGUST" id="9"/>
    <tableColumn name="SEPTEMBER" id="10"/>
    <tableColumn name="OCTOBER" id="11"/>
    <tableColumn name="NOVEMBER" id="12"/>
    <tableColumn name="DECEMBER" id="13"/>
    <tableColumn name="TOTAL" id="14"/>
  </tableColumns>
  <tableStyleInfo name="DELIVERABLES-TARGETS VS ACC &amp;SE-style 3" showColumnStripes="0" showFirstColumn="1" showLastColumn="1" showRowStripes="1"/>
</table>
</file>

<file path=xl/tables/table4.xml><?xml version="1.0" encoding="utf-8"?>
<table xmlns="http://schemas.openxmlformats.org/spreadsheetml/2006/main" ref="B96:D98" displayName="Table_4" name="Table_4" id="4">
  <tableColumns count="3">
    <tableColumn name="CURRENT LOAN DELINQUENCIES (PSLA)" id="1"/>
    <tableColumn name="DATA" id="2"/>
    <tableColumn name="UPDATED AS OF:" id="3"/>
  </tableColumns>
  <tableStyleInfo name="DELIVERABLES-TARGETS VS ACC &amp;SE-style 4" showColumnStripes="0" showFirstColumn="1" showLastColumn="1" showRowStripes="1"/>
</table>
</file>

<file path=xl/tables/table5.xml><?xml version="1.0" encoding="utf-8"?>
<table xmlns="http://schemas.openxmlformats.org/spreadsheetml/2006/main" ref="B100:D110" displayName="Table_5" name="Table_5" id="5">
  <tableColumns count="3">
    <tableColumn name="MONITORING WITH COOPERATIVES" id="1"/>
    <tableColumn name="DATA" id="2"/>
    <tableColumn name="UPDATED AS OF:" id="3"/>
  </tableColumns>
  <tableStyleInfo name="DELIVERABLES-TARGETS VS ACC &amp;SE-style 5" showColumnStripes="0" showFirstColumn="1" showLastColumn="1" showRowStripes="1"/>
</table>
</file>

<file path=xl/tables/table6.xml><?xml version="1.0" encoding="utf-8"?>
<table xmlns="http://schemas.openxmlformats.org/spreadsheetml/2006/main" ref="C112:P116" displayName="Table_6" name="Table_6" id="6">
  <tableColumns count="14">
    <tableColumn name="FOR THE YEAR 2025" id="1"/>
    <tableColumn name="JANUARY" id="2"/>
    <tableColumn name="FEBRUARY" id="3"/>
    <tableColumn name="MARCH" id="4"/>
    <tableColumn name="APRIL" id="5"/>
    <tableColumn name="MAY" id="6"/>
    <tableColumn name="JUNE" id="7"/>
    <tableColumn name="JULY" id="8"/>
    <tableColumn name="AUGUST" id="9"/>
    <tableColumn name="SEPTEMBER" id="10"/>
    <tableColumn name="OCTOBER" id="11"/>
    <tableColumn name="NOVEMBER" id="12"/>
    <tableColumn name="DECEMBER" id="13"/>
    <tableColumn name="TOTAL" id="14"/>
  </tableColumns>
  <tableStyleInfo name="DELIVERABLES-TARGETS VS ACC &amp;SE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0"/>
    <col customWidth="1" min="2" max="2" width="44.88"/>
    <col customWidth="1" min="3" max="3" width="22.25"/>
    <col customWidth="1" min="4" max="4" width="22.63"/>
    <col customWidth="1" min="5" max="5" width="19.75"/>
    <col customWidth="1" min="6" max="6" width="20.13"/>
    <col customWidth="1" min="7" max="7" width="19.25"/>
    <col customWidth="1" min="8" max="8" width="18.88"/>
    <col customWidth="1" min="9" max="9" width="18.0"/>
    <col customWidth="1" min="10" max="10" width="19.5"/>
    <col customWidth="1" min="11" max="11" width="20.25"/>
    <col customWidth="1" min="12" max="12" width="21.75"/>
    <col customWidth="1" min="13" max="13" width="21.63"/>
    <col customWidth="1" min="14" max="14" width="18.88"/>
    <col customWidth="1" min="15" max="15" width="17.38"/>
    <col customWidth="1" min="16" max="16" width="15.63"/>
    <col customWidth="1" min="17" max="17" width="19.13"/>
  </cols>
  <sheetData>
    <row r="1" ht="15.75" customHeight="1">
      <c r="A1" s="1"/>
      <c r="B1" s="2"/>
      <c r="C1" s="1"/>
      <c r="D1" s="3" t="s">
        <v>0</v>
      </c>
      <c r="P1" s="4"/>
      <c r="Q1" s="4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4"/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7" t="s">
        <v>15</v>
      </c>
      <c r="Q2" s="6" t="s">
        <v>16</v>
      </c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1"/>
      <c r="B3" s="8" t="s">
        <v>17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6">
        <f t="shared" ref="P3:P63" si="1">SUM(D3:O3)</f>
        <v>0</v>
      </c>
      <c r="Q3" s="10" t="str">
        <f t="shared" ref="Q3:Q63" si="2">P3/C3</f>
        <v>#DIV/0!</v>
      </c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11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6">
        <f t="shared" si="1"/>
        <v>0</v>
      </c>
      <c r="Q4" s="10" t="str">
        <f t="shared" si="2"/>
        <v>#DIV/0!</v>
      </c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12" t="s">
        <v>18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6">
        <f t="shared" si="1"/>
        <v>0</v>
      </c>
      <c r="Q5" s="10" t="str">
        <f t="shared" si="2"/>
        <v>#DIV/0!</v>
      </c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13" t="s">
        <v>19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6">
        <f t="shared" si="1"/>
        <v>0</v>
      </c>
      <c r="Q6" s="10" t="str">
        <f t="shared" si="2"/>
        <v>#DIV/0!</v>
      </c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B7" s="12" t="s">
        <v>20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6">
        <f t="shared" si="1"/>
        <v>0</v>
      </c>
      <c r="Q7" s="10" t="str">
        <f t="shared" si="2"/>
        <v>#DIV/0!</v>
      </c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B8" s="13" t="s">
        <v>21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6">
        <f t="shared" si="1"/>
        <v>0</v>
      </c>
      <c r="Q8" s="10" t="str">
        <f t="shared" si="2"/>
        <v>#DIV/0!</v>
      </c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/>
      <c r="B9" s="12" t="s">
        <v>22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6">
        <f t="shared" si="1"/>
        <v>0</v>
      </c>
      <c r="Q9" s="10" t="str">
        <f t="shared" si="2"/>
        <v>#DIV/0!</v>
      </c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/>
      <c r="B10" s="13" t="s">
        <v>23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6">
        <f t="shared" si="1"/>
        <v>0</v>
      </c>
      <c r="Q10" s="10" t="str">
        <f t="shared" si="2"/>
        <v>#DIV/0!</v>
      </c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"/>
      <c r="B11" s="12" t="s">
        <v>24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6">
        <f t="shared" si="1"/>
        <v>0</v>
      </c>
      <c r="Q11" s="10" t="str">
        <f t="shared" si="2"/>
        <v>#DIV/0!</v>
      </c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13" t="s">
        <v>25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6">
        <f t="shared" si="1"/>
        <v>0</v>
      </c>
      <c r="Q12" s="10" t="str">
        <f t="shared" si="2"/>
        <v>#DIV/0!</v>
      </c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12" t="s">
        <v>26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6">
        <f t="shared" si="1"/>
        <v>0</v>
      </c>
      <c r="Q13" s="10" t="str">
        <f t="shared" si="2"/>
        <v>#DIV/0!</v>
      </c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13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6">
        <f t="shared" si="1"/>
        <v>0</v>
      </c>
      <c r="Q14" s="10" t="str">
        <f t="shared" si="2"/>
        <v>#DIV/0!</v>
      </c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12" t="s">
        <v>28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6">
        <f t="shared" si="1"/>
        <v>0</v>
      </c>
      <c r="Q15" s="10" t="str">
        <f t="shared" si="2"/>
        <v>#DIV/0!</v>
      </c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13" t="s">
        <v>29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6">
        <f t="shared" si="1"/>
        <v>0</v>
      </c>
      <c r="Q16" s="10" t="str">
        <f t="shared" si="2"/>
        <v>#DIV/0!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12" t="s">
        <v>30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6">
        <f t="shared" si="1"/>
        <v>0</v>
      </c>
      <c r="Q17" s="10" t="str">
        <f t="shared" si="2"/>
        <v>#DIV/0!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13" t="s">
        <v>31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6">
        <f t="shared" si="1"/>
        <v>0</v>
      </c>
      <c r="Q18" s="10" t="str">
        <f t="shared" si="2"/>
        <v>#DIV/0!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12" t="s">
        <v>32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6">
        <f t="shared" si="1"/>
        <v>0</v>
      </c>
      <c r="Q19" s="10" t="str">
        <f t="shared" si="2"/>
        <v>#DIV/0!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14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6">
        <f t="shared" si="1"/>
        <v>0</v>
      </c>
      <c r="Q20" s="10" t="str">
        <f t="shared" si="2"/>
        <v>#DIV/0!</v>
      </c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5" t="s">
        <v>33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6">
        <f t="shared" si="1"/>
        <v>0</v>
      </c>
      <c r="Q21" s="10" t="str">
        <f t="shared" si="2"/>
        <v>#DIV/0!</v>
      </c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6" t="s">
        <v>34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6">
        <f t="shared" si="1"/>
        <v>0</v>
      </c>
      <c r="Q22" s="10" t="str">
        <f t="shared" si="2"/>
        <v>#DIV/0!</v>
      </c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7" t="s">
        <v>35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6">
        <f t="shared" si="1"/>
        <v>0</v>
      </c>
      <c r="Q23" s="10" t="str">
        <f t="shared" si="2"/>
        <v>#DIV/0!</v>
      </c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6" t="s">
        <v>36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6">
        <f t="shared" si="1"/>
        <v>0</v>
      </c>
      <c r="Q24" s="10" t="str">
        <f t="shared" si="2"/>
        <v>#DIV/0!</v>
      </c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6" t="s">
        <v>37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6">
        <f t="shared" si="1"/>
        <v>0</v>
      </c>
      <c r="Q25" s="10" t="str">
        <f t="shared" si="2"/>
        <v>#DIV/0!</v>
      </c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6" t="s">
        <v>38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6">
        <f t="shared" si="1"/>
        <v>0</v>
      </c>
      <c r="Q26" s="10" t="str">
        <f t="shared" si="2"/>
        <v>#DIV/0!</v>
      </c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6" t="s">
        <v>39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6">
        <f t="shared" si="1"/>
        <v>0</v>
      </c>
      <c r="Q27" s="10" t="str">
        <f t="shared" si="2"/>
        <v>#DIV/0!</v>
      </c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6" t="s">
        <v>40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6">
        <f t="shared" si="1"/>
        <v>0</v>
      </c>
      <c r="Q28" s="10" t="str">
        <f t="shared" si="2"/>
        <v>#DIV/0!</v>
      </c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6" t="s">
        <v>41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6">
        <f t="shared" si="1"/>
        <v>0</v>
      </c>
      <c r="Q29" s="10" t="str">
        <f t="shared" si="2"/>
        <v>#DIV/0!</v>
      </c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6" t="s">
        <v>42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6">
        <f t="shared" si="1"/>
        <v>0</v>
      </c>
      <c r="Q30" s="10" t="str">
        <f t="shared" si="2"/>
        <v>#DIV/0!</v>
      </c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6" t="s">
        <v>43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6">
        <f t="shared" si="1"/>
        <v>0</v>
      </c>
      <c r="Q31" s="10" t="str">
        <f t="shared" si="2"/>
        <v>#DIV/0!</v>
      </c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6" t="s">
        <v>44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6">
        <f t="shared" si="1"/>
        <v>0</v>
      </c>
      <c r="Q32" s="10" t="str">
        <f t="shared" si="2"/>
        <v>#DIV/0!</v>
      </c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6" t="s">
        <v>45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6">
        <f t="shared" si="1"/>
        <v>0</v>
      </c>
      <c r="Q33" s="10" t="str">
        <f t="shared" si="2"/>
        <v>#DIV/0!</v>
      </c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6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6">
        <f t="shared" si="1"/>
        <v>0</v>
      </c>
      <c r="Q34" s="10" t="str">
        <f t="shared" si="2"/>
        <v>#DIV/0!</v>
      </c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6" t="s">
        <v>46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6">
        <f t="shared" si="1"/>
        <v>0</v>
      </c>
      <c r="Q35" s="10" t="str">
        <f t="shared" si="2"/>
        <v>#DIV/0!</v>
      </c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6" t="s">
        <v>47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6">
        <f t="shared" si="1"/>
        <v>0</v>
      </c>
      <c r="Q36" s="10" t="str">
        <f t="shared" si="2"/>
        <v>#DIV/0!</v>
      </c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6" t="s">
        <v>48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6">
        <f t="shared" si="1"/>
        <v>0</v>
      </c>
      <c r="Q37" s="10" t="str">
        <f t="shared" si="2"/>
        <v>#DIV/0!</v>
      </c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6" t="s">
        <v>49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6">
        <f t="shared" si="1"/>
        <v>0</v>
      </c>
      <c r="Q38" s="10" t="str">
        <f t="shared" si="2"/>
        <v>#DIV/0!</v>
      </c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6" t="s">
        <v>50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6">
        <f t="shared" si="1"/>
        <v>0</v>
      </c>
      <c r="Q39" s="10" t="str">
        <f t="shared" si="2"/>
        <v>#DIV/0!</v>
      </c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6" t="s">
        <v>51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6">
        <f t="shared" si="1"/>
        <v>0</v>
      </c>
      <c r="Q40" s="10" t="str">
        <f t="shared" si="2"/>
        <v>#DIV/0!</v>
      </c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6" t="s">
        <v>52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6">
        <f t="shared" si="1"/>
        <v>0</v>
      </c>
      <c r="Q41" s="10" t="str">
        <f t="shared" si="2"/>
        <v>#DIV/0!</v>
      </c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6" t="s">
        <v>53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6">
        <f t="shared" si="1"/>
        <v>0</v>
      </c>
      <c r="Q42" s="10" t="str">
        <f t="shared" si="2"/>
        <v>#DIV/0!</v>
      </c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6" t="s">
        <v>54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6">
        <f t="shared" si="1"/>
        <v>0</v>
      </c>
      <c r="Q43" s="10" t="str">
        <f t="shared" si="2"/>
        <v>#DIV/0!</v>
      </c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6" t="s">
        <v>55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6">
        <f t="shared" si="1"/>
        <v>0</v>
      </c>
      <c r="Q44" s="10" t="str">
        <f t="shared" si="2"/>
        <v>#DIV/0!</v>
      </c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6" t="s">
        <v>56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6">
        <f t="shared" si="1"/>
        <v>0</v>
      </c>
      <c r="Q45" s="10" t="str">
        <f t="shared" si="2"/>
        <v>#DIV/0!</v>
      </c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6" t="s">
        <v>57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6">
        <f t="shared" si="1"/>
        <v>0</v>
      </c>
      <c r="Q46" s="10" t="str">
        <f t="shared" si="2"/>
        <v>#DIV/0!</v>
      </c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6" t="s">
        <v>58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6">
        <f t="shared" si="1"/>
        <v>0</v>
      </c>
      <c r="Q47" s="10" t="str">
        <f t="shared" si="2"/>
        <v>#DIV/0!</v>
      </c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6" t="s">
        <v>59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6">
        <f t="shared" si="1"/>
        <v>0</v>
      </c>
      <c r="Q48" s="10" t="str">
        <f t="shared" si="2"/>
        <v>#DIV/0!</v>
      </c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6" t="s">
        <v>60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6">
        <f t="shared" si="1"/>
        <v>0</v>
      </c>
      <c r="Q49" s="10" t="str">
        <f t="shared" si="2"/>
        <v>#DIV/0!</v>
      </c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6" t="s">
        <v>61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6">
        <f t="shared" si="1"/>
        <v>0</v>
      </c>
      <c r="Q50" s="10" t="str">
        <f t="shared" si="2"/>
        <v>#DIV/0!</v>
      </c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6" t="s">
        <v>62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6">
        <f t="shared" si="1"/>
        <v>0</v>
      </c>
      <c r="Q51" s="10" t="str">
        <f t="shared" si="2"/>
        <v>#DIV/0!</v>
      </c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6" t="s">
        <v>63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6">
        <f t="shared" si="1"/>
        <v>0</v>
      </c>
      <c r="Q52" s="10" t="str">
        <f t="shared" si="2"/>
        <v>#DIV/0!</v>
      </c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6" t="s">
        <v>64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6">
        <f t="shared" si="1"/>
        <v>0</v>
      </c>
      <c r="Q53" s="10" t="str">
        <f t="shared" si="2"/>
        <v>#DIV/0!</v>
      </c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6" t="s">
        <v>65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6">
        <f t="shared" si="1"/>
        <v>0</v>
      </c>
      <c r="Q54" s="10" t="str">
        <f t="shared" si="2"/>
        <v>#DIV/0!</v>
      </c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6" t="s">
        <v>66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6">
        <f t="shared" si="1"/>
        <v>0</v>
      </c>
      <c r="Q55" s="10" t="str">
        <f t="shared" si="2"/>
        <v>#DIV/0!</v>
      </c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6" t="s">
        <v>67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6">
        <f t="shared" si="1"/>
        <v>0</v>
      </c>
      <c r="Q56" s="10" t="str">
        <f t="shared" si="2"/>
        <v>#DIV/0!</v>
      </c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6" t="s">
        <v>68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6">
        <f t="shared" si="1"/>
        <v>0</v>
      </c>
      <c r="Q57" s="10" t="str">
        <f t="shared" si="2"/>
        <v>#DIV/0!</v>
      </c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6" t="s">
        <v>69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6">
        <f t="shared" si="1"/>
        <v>0</v>
      </c>
      <c r="Q58" s="10" t="str">
        <f t="shared" si="2"/>
        <v>#DIV/0!</v>
      </c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6" t="s">
        <v>70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6">
        <f t="shared" si="1"/>
        <v>0</v>
      </c>
      <c r="Q59" s="10" t="str">
        <f t="shared" si="2"/>
        <v>#DIV/0!</v>
      </c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4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6">
        <f t="shared" si="1"/>
        <v>0</v>
      </c>
      <c r="Q60" s="10" t="str">
        <f t="shared" si="2"/>
        <v>#DIV/0!</v>
      </c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4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6">
        <f t="shared" si="1"/>
        <v>0</v>
      </c>
      <c r="Q61" s="10" t="str">
        <f t="shared" si="2"/>
        <v>#DIV/0!</v>
      </c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4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6">
        <f t="shared" si="1"/>
        <v>0</v>
      </c>
      <c r="Q62" s="10" t="str">
        <f t="shared" si="2"/>
        <v>#DIV/0!</v>
      </c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4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6">
        <f t="shared" si="1"/>
        <v>0</v>
      </c>
      <c r="Q63" s="10" t="str">
        <f t="shared" si="2"/>
        <v>#DIV/0!</v>
      </c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4"/>
      <c r="Q64" s="4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8" t="s">
        <v>71</v>
      </c>
      <c r="C65" s="19" t="s">
        <v>72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4"/>
      <c r="Q65" s="4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20" t="s">
        <v>73</v>
      </c>
      <c r="C66" s="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4"/>
      <c r="Q66" s="4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20" t="s">
        <v>74</v>
      </c>
      <c r="C67" s="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4"/>
      <c r="Q67" s="4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20" t="s">
        <v>75</v>
      </c>
      <c r="C68" s="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4"/>
      <c r="Q68" s="4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20" t="s">
        <v>76</v>
      </c>
      <c r="C69" s="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4"/>
      <c r="Q69" s="4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4"/>
      <c r="Q70" s="4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4"/>
      <c r="B71" s="5" t="s">
        <v>77</v>
      </c>
      <c r="C71" s="6" t="s">
        <v>3</v>
      </c>
      <c r="D71" s="6" t="s">
        <v>4</v>
      </c>
      <c r="E71" s="6" t="s">
        <v>5</v>
      </c>
      <c r="F71" s="6" t="s">
        <v>6</v>
      </c>
      <c r="G71" s="6" t="s">
        <v>7</v>
      </c>
      <c r="H71" s="6" t="s">
        <v>8</v>
      </c>
      <c r="I71" s="6" t="s">
        <v>9</v>
      </c>
      <c r="J71" s="6" t="s">
        <v>10</v>
      </c>
      <c r="K71" s="6" t="s">
        <v>11</v>
      </c>
      <c r="L71" s="6" t="s">
        <v>12</v>
      </c>
      <c r="M71" s="6" t="s">
        <v>13</v>
      </c>
      <c r="N71" s="6" t="s">
        <v>14</v>
      </c>
      <c r="O71" s="6" t="s">
        <v>15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1"/>
      <c r="B72" s="14" t="s">
        <v>78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>
        <f t="shared" ref="O72:O94" si="3">SUM(C72:N72)</f>
        <v>0</v>
      </c>
      <c r="P72" s="4"/>
      <c r="Q72" s="4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4" t="s">
        <v>79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>
        <f t="shared" si="3"/>
        <v>0</v>
      </c>
      <c r="P73" s="4"/>
      <c r="Q73" s="4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4" t="s">
        <v>80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>
        <f t="shared" si="3"/>
        <v>0</v>
      </c>
      <c r="P74" s="4"/>
      <c r="Q74" s="4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4" t="s">
        <v>81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>
        <f t="shared" si="3"/>
        <v>0</v>
      </c>
      <c r="P75" s="4"/>
      <c r="Q75" s="4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4" t="s">
        <v>82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>
        <f t="shared" si="3"/>
        <v>0</v>
      </c>
      <c r="P76" s="4"/>
      <c r="Q76" s="4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4" t="s">
        <v>83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>
        <f t="shared" si="3"/>
        <v>0</v>
      </c>
      <c r="P77" s="4"/>
      <c r="Q77" s="4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4" t="s">
        <v>84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>
        <f t="shared" si="3"/>
        <v>0</v>
      </c>
      <c r="P78" s="4"/>
      <c r="Q78" s="4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4" t="s">
        <v>84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>
        <f t="shared" si="3"/>
        <v>0</v>
      </c>
      <c r="P79" s="4"/>
      <c r="Q79" s="4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4" t="s">
        <v>85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>
        <f t="shared" si="3"/>
        <v>0</v>
      </c>
      <c r="P80" s="4"/>
      <c r="Q80" s="4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4" t="s">
        <v>86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>
        <f t="shared" si="3"/>
        <v>0</v>
      </c>
      <c r="P81" s="4"/>
      <c r="Q81" s="4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4" t="s">
        <v>87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>
        <f t="shared" si="3"/>
        <v>0</v>
      </c>
      <c r="P82" s="4"/>
      <c r="Q82" s="4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4" t="s">
        <v>88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>
        <f t="shared" si="3"/>
        <v>0</v>
      </c>
      <c r="P83" s="4"/>
      <c r="Q83" s="4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4" t="s">
        <v>89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>
        <f t="shared" si="3"/>
        <v>0</v>
      </c>
      <c r="P84" s="4"/>
      <c r="Q84" s="4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4" t="s">
        <v>90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>
        <f t="shared" si="3"/>
        <v>0</v>
      </c>
      <c r="P85" s="4"/>
      <c r="Q85" s="4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4" t="s">
        <v>91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>
        <f t="shared" si="3"/>
        <v>0</v>
      </c>
      <c r="P86" s="4"/>
      <c r="Q86" s="4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4" t="s">
        <v>92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>
        <f t="shared" si="3"/>
        <v>0</v>
      </c>
      <c r="P87" s="4"/>
      <c r="Q87" s="4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4" t="s">
        <v>93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>
        <f t="shared" si="3"/>
        <v>0</v>
      </c>
      <c r="P88" s="4"/>
      <c r="Q88" s="4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4" t="s">
        <v>94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>
        <f t="shared" si="3"/>
        <v>0</v>
      </c>
      <c r="P89" s="4"/>
      <c r="Q89" s="4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4" t="s">
        <v>95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>
        <f t="shared" si="3"/>
        <v>0</v>
      </c>
      <c r="P90" s="4"/>
      <c r="Q90" s="4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4" t="s">
        <v>96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>
        <f t="shared" si="3"/>
        <v>0</v>
      </c>
      <c r="P91" s="4"/>
      <c r="Q91" s="4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4" t="s">
        <v>97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>
        <f t="shared" si="3"/>
        <v>0</v>
      </c>
      <c r="P92" s="4"/>
      <c r="Q92" s="4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4" t="s">
        <v>98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>
        <f t="shared" si="3"/>
        <v>0</v>
      </c>
      <c r="P93" s="4"/>
      <c r="Q93" s="4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4" t="s">
        <v>99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>
        <f t="shared" si="3"/>
        <v>0</v>
      </c>
      <c r="P94" s="4"/>
      <c r="Q94" s="4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4"/>
      <c r="Q95" s="4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4"/>
      <c r="B96" s="18" t="s">
        <v>100</v>
      </c>
      <c r="C96" s="21" t="s">
        <v>72</v>
      </c>
      <c r="D96" s="19" t="s">
        <v>101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1"/>
      <c r="B97" s="14" t="s">
        <v>102</v>
      </c>
      <c r="C97" s="9"/>
      <c r="D97" s="2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4"/>
      <c r="Q97" s="4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4" t="s">
        <v>103</v>
      </c>
      <c r="C98" s="9"/>
      <c r="D98" s="2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4"/>
      <c r="Q98" s="4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4"/>
      <c r="Q99" s="4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23" t="s">
        <v>104</v>
      </c>
      <c r="C100" s="24" t="s">
        <v>72</v>
      </c>
      <c r="D100" s="25" t="s">
        <v>101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4"/>
      <c r="Q100" s="4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4" t="s">
        <v>105</v>
      </c>
      <c r="C101" s="9"/>
      <c r="D101" s="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4"/>
      <c r="Q101" s="4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4" t="s">
        <v>106</v>
      </c>
      <c r="C102" s="9"/>
      <c r="D102" s="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4"/>
      <c r="Q102" s="4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4" t="s">
        <v>107</v>
      </c>
      <c r="C103" s="9"/>
      <c r="D103" s="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4"/>
      <c r="Q103" s="4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4" t="s">
        <v>108</v>
      </c>
      <c r="C104" s="9"/>
      <c r="D104" s="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4"/>
      <c r="Q104" s="4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4" t="s">
        <v>109</v>
      </c>
      <c r="C105" s="9"/>
      <c r="D105" s="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4"/>
      <c r="Q105" s="4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4" t="s">
        <v>110</v>
      </c>
      <c r="C106" s="9"/>
      <c r="D106" s="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4"/>
      <c r="Q106" s="4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4" t="s">
        <v>111</v>
      </c>
      <c r="C107" s="9"/>
      <c r="D107" s="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4"/>
      <c r="Q107" s="4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4" t="s">
        <v>112</v>
      </c>
      <c r="C108" s="9"/>
      <c r="D108" s="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4"/>
      <c r="Q108" s="4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4" t="s">
        <v>113</v>
      </c>
      <c r="C109" s="9"/>
      <c r="D109" s="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4"/>
      <c r="Q109" s="4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4" t="s">
        <v>114</v>
      </c>
      <c r="C110" s="9"/>
      <c r="D110" s="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4"/>
      <c r="Q110" s="4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4"/>
      <c r="Q111" s="4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4"/>
      <c r="B112" s="26"/>
      <c r="C112" s="27" t="s">
        <v>115</v>
      </c>
      <c r="D112" s="6" t="s">
        <v>3</v>
      </c>
      <c r="E112" s="6" t="s">
        <v>4</v>
      </c>
      <c r="F112" s="6" t="s">
        <v>5</v>
      </c>
      <c r="G112" s="6" t="s">
        <v>6</v>
      </c>
      <c r="H112" s="6" t="s">
        <v>7</v>
      </c>
      <c r="I112" s="6" t="s">
        <v>8</v>
      </c>
      <c r="J112" s="6" t="s">
        <v>9</v>
      </c>
      <c r="K112" s="6" t="s">
        <v>10</v>
      </c>
      <c r="L112" s="6" t="s">
        <v>11</v>
      </c>
      <c r="M112" s="6" t="s">
        <v>12</v>
      </c>
      <c r="N112" s="6" t="s">
        <v>13</v>
      </c>
      <c r="O112" s="6" t="s">
        <v>14</v>
      </c>
      <c r="P112" s="6" t="s">
        <v>15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1"/>
      <c r="B113" s="2"/>
      <c r="C113" s="6" t="s">
        <v>116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6">
        <f t="shared" ref="P113:P116" si="4">SUM(D113:O113)</f>
        <v>0</v>
      </c>
      <c r="Q113" s="4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2"/>
      <c r="C114" s="6" t="s">
        <v>117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6">
        <f t="shared" si="4"/>
        <v>0</v>
      </c>
      <c r="Q114" s="4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2"/>
      <c r="C115" s="6" t="s">
        <v>118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6">
        <f t="shared" si="4"/>
        <v>0</v>
      </c>
      <c r="Q115" s="4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2"/>
      <c r="C116" s="6" t="s">
        <v>119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6">
        <f t="shared" si="4"/>
        <v>0</v>
      </c>
      <c r="Q116" s="4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4"/>
      <c r="Q117" s="4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4"/>
      <c r="Q118" s="4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4"/>
      <c r="Q119" s="4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4"/>
      <c r="Q120" s="4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4"/>
      <c r="Q121" s="4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4"/>
      <c r="Q122" s="4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4"/>
      <c r="Q123" s="4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4"/>
      <c r="Q124" s="4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4"/>
      <c r="Q125" s="4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4"/>
      <c r="Q126" s="4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4"/>
      <c r="Q127" s="4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4"/>
      <c r="Q128" s="4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4"/>
      <c r="Q129" s="4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4"/>
      <c r="Q130" s="4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4"/>
      <c r="Q131" s="4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4"/>
      <c r="Q132" s="4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4"/>
      <c r="Q133" s="4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4"/>
      <c r="Q134" s="4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4"/>
      <c r="Q135" s="4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4"/>
      <c r="Q136" s="4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4"/>
      <c r="Q137" s="4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4"/>
      <c r="Q138" s="4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4"/>
      <c r="Q139" s="4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4"/>
      <c r="Q140" s="4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4"/>
      <c r="Q141" s="4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4"/>
      <c r="Q142" s="4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4"/>
      <c r="Q143" s="4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4"/>
      <c r="Q144" s="4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4"/>
      <c r="Q145" s="4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4"/>
      <c r="Q146" s="4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4"/>
      <c r="Q147" s="4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4"/>
      <c r="Q148" s="4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4"/>
      <c r="Q149" s="4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4"/>
      <c r="Q150" s="4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4"/>
      <c r="Q151" s="4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4"/>
      <c r="Q152" s="4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4"/>
      <c r="Q153" s="4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4"/>
      <c r="Q154" s="4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4"/>
      <c r="Q155" s="4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4"/>
      <c r="Q156" s="4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4"/>
      <c r="Q157" s="4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4"/>
      <c r="Q158" s="4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4"/>
      <c r="Q159" s="4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4"/>
      <c r="Q160" s="4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4"/>
      <c r="Q161" s="4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4"/>
      <c r="Q162" s="4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4"/>
      <c r="Q163" s="4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4"/>
      <c r="Q164" s="4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4"/>
      <c r="Q165" s="4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4"/>
      <c r="Q166" s="4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4"/>
      <c r="Q167" s="4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4"/>
      <c r="Q168" s="4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4"/>
      <c r="Q169" s="4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4"/>
      <c r="Q170" s="4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4"/>
      <c r="Q171" s="4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4"/>
      <c r="Q172" s="4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4"/>
      <c r="Q173" s="4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4"/>
      <c r="Q174" s="4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4"/>
      <c r="Q175" s="4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4"/>
      <c r="Q176" s="4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4"/>
      <c r="Q177" s="4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4"/>
      <c r="Q178" s="4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4"/>
      <c r="Q179" s="4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4"/>
      <c r="Q180" s="4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4"/>
      <c r="Q181" s="4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4"/>
      <c r="Q182" s="4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4"/>
      <c r="Q183" s="4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4"/>
      <c r="Q184" s="4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4"/>
      <c r="Q185" s="4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4"/>
      <c r="Q186" s="4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4"/>
      <c r="Q187" s="4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4"/>
      <c r="Q188" s="4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4"/>
      <c r="Q189" s="4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4"/>
      <c r="Q190" s="4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4"/>
      <c r="Q191" s="4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4"/>
      <c r="Q192" s="4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4"/>
      <c r="Q193" s="4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4"/>
      <c r="Q194" s="4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4"/>
      <c r="Q195" s="4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4"/>
      <c r="Q196" s="4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4"/>
      <c r="Q197" s="4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4"/>
      <c r="Q198" s="4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4"/>
      <c r="Q199" s="4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4"/>
      <c r="Q200" s="4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4"/>
      <c r="Q201" s="4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4"/>
      <c r="Q202" s="4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4"/>
      <c r="Q203" s="4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4"/>
      <c r="Q204" s="4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4"/>
      <c r="Q205" s="4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4"/>
      <c r="Q206" s="4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4"/>
      <c r="Q207" s="4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4"/>
      <c r="Q208" s="4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4"/>
      <c r="Q209" s="4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4"/>
      <c r="Q210" s="4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4"/>
      <c r="Q211" s="4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4"/>
      <c r="Q212" s="4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4"/>
      <c r="Q213" s="4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4"/>
      <c r="Q214" s="4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4"/>
      <c r="Q215" s="4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4"/>
      <c r="Q216" s="4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4"/>
      <c r="Q217" s="4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4"/>
      <c r="Q218" s="4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4"/>
      <c r="Q219" s="4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4"/>
      <c r="Q220" s="4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4"/>
      <c r="Q221" s="4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4"/>
      <c r="Q222" s="4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4"/>
      <c r="Q223" s="4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4"/>
      <c r="Q224" s="4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4"/>
      <c r="Q225" s="4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4"/>
      <c r="Q226" s="4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4"/>
      <c r="Q227" s="4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4"/>
      <c r="Q228" s="4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4"/>
      <c r="Q229" s="4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4"/>
      <c r="Q230" s="4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4"/>
      <c r="Q231" s="4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4"/>
      <c r="Q232" s="4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4"/>
      <c r="Q233" s="4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4"/>
      <c r="Q234" s="4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4"/>
      <c r="Q235" s="4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4"/>
      <c r="Q236" s="4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4"/>
      <c r="Q237" s="4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4"/>
      <c r="Q238" s="4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4"/>
      <c r="Q239" s="4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4"/>
      <c r="Q240" s="4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4"/>
      <c r="Q241" s="4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4"/>
      <c r="Q242" s="4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4"/>
      <c r="Q243" s="4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4"/>
      <c r="Q244" s="4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4"/>
      <c r="Q245" s="4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4"/>
      <c r="Q246" s="4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4"/>
      <c r="Q247" s="4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4"/>
      <c r="Q248" s="4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4"/>
      <c r="Q249" s="4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4"/>
      <c r="Q250" s="4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4"/>
      <c r="Q251" s="4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4"/>
      <c r="Q252" s="4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4"/>
      <c r="Q253" s="4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4"/>
      <c r="Q254" s="4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4"/>
      <c r="Q255" s="4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4"/>
      <c r="Q256" s="4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4"/>
      <c r="Q257" s="4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4"/>
      <c r="Q258" s="4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4"/>
      <c r="Q259" s="4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4"/>
      <c r="Q260" s="4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4"/>
      <c r="Q261" s="4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4"/>
      <c r="Q262" s="4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4"/>
      <c r="Q263" s="4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4"/>
      <c r="Q264" s="4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4"/>
      <c r="Q265" s="4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4"/>
      <c r="Q266" s="4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4"/>
      <c r="Q267" s="4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4"/>
      <c r="Q268" s="4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4"/>
      <c r="Q269" s="4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4"/>
      <c r="Q270" s="4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4"/>
      <c r="Q271" s="4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4"/>
      <c r="Q272" s="4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4"/>
      <c r="Q273" s="4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4"/>
      <c r="Q274" s="4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4"/>
      <c r="Q275" s="4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4"/>
      <c r="Q276" s="4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4"/>
      <c r="Q277" s="4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4"/>
      <c r="Q278" s="4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4"/>
      <c r="Q279" s="4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4"/>
      <c r="Q280" s="4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4"/>
      <c r="Q281" s="4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4"/>
      <c r="Q282" s="4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4"/>
      <c r="Q283" s="4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4"/>
      <c r="Q284" s="4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4"/>
      <c r="Q285" s="4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4"/>
      <c r="Q286" s="4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4"/>
      <c r="Q287" s="4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4"/>
      <c r="Q288" s="4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4"/>
      <c r="Q289" s="4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4"/>
      <c r="Q290" s="4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4"/>
      <c r="Q291" s="4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4"/>
      <c r="Q292" s="4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4"/>
      <c r="Q293" s="4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4"/>
      <c r="Q294" s="4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4"/>
      <c r="Q295" s="4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4"/>
      <c r="Q296" s="4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4"/>
      <c r="Q297" s="4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4"/>
      <c r="Q298" s="4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4"/>
      <c r="Q299" s="4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4"/>
      <c r="Q300" s="4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4"/>
      <c r="Q301" s="4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4"/>
      <c r="Q302" s="4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4"/>
      <c r="Q303" s="4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4"/>
      <c r="Q304" s="4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4"/>
      <c r="Q305" s="4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4"/>
      <c r="Q306" s="4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4"/>
      <c r="Q307" s="4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4"/>
      <c r="Q308" s="4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4"/>
      <c r="Q309" s="4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4"/>
      <c r="Q310" s="4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4"/>
      <c r="Q311" s="4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4"/>
      <c r="Q312" s="4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4"/>
      <c r="Q313" s="4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4"/>
      <c r="Q314" s="4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4"/>
      <c r="Q315" s="4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4"/>
      <c r="Q316" s="4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D1:O1"/>
  </mergeCells>
  <dataValidations>
    <dataValidation type="custom" allowBlank="1" showDropDown="1" sqref="D97:D98">
      <formula1>OR(NOT(ISERROR(DATEVALUE(D97))), AND(ISNUMBER(D97), LEFT(CELL("format", D97))="D"))</formula1>
    </dataValidation>
    <dataValidation type="custom" allowBlank="1" showDropDown="1" sqref="C3:O63 Q3:Q63 C66:C69 C72:N94 C97:C98 D113:O116">
      <formula1>AND(ISNUMBER(C3),(NOT(OR(NOT(ISERROR(DATEVALUE(C3))), AND(ISNUMBER(C3), LEFT(CELL("format", C3))="D")))))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