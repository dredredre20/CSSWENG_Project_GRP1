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ELOADMASTERLIST" sheetId="1" r:id="rId4"/>
  </sheets>
  <definedNames/>
  <calcPr/>
</workbook>
</file>

<file path=xl/sharedStrings.xml><?xml version="1.0" encoding="utf-8"?>
<sst xmlns="http://schemas.openxmlformats.org/spreadsheetml/2006/main" count="136" uniqueCount="109">
  <si>
    <t>CASELOAD - MASTER LIST (SHOULD BE UPDATED MONTHLY TO ADD THE NEW WELCOME AND BRING DOWN THE RETIRED)</t>
  </si>
  <si>
    <t>Column 1</t>
  </si>
  <si>
    <t>CATEGORY</t>
  </si>
  <si>
    <t>FAMILY NAME</t>
  </si>
  <si>
    <t>FIRST NAME</t>
  </si>
  <si>
    <t>MIDDLE NAME</t>
  </si>
  <si>
    <t>CASE FOLDER NO.  (CH NUMBER)</t>
  </si>
  <si>
    <t>GENDER</t>
  </si>
  <si>
    <t>AGE</t>
  </si>
  <si>
    <t>BIRTHDAY</t>
  </si>
  <si>
    <t>SHG</t>
  </si>
  <si>
    <t>SPU</t>
  </si>
  <si>
    <t>GRADE LEVEL(SC/SY)</t>
  </si>
  <si>
    <t>CP Number of the Sponored  Member</t>
  </si>
  <si>
    <t>STATUS</t>
  </si>
  <si>
    <t>DATE ADMISSION (INITIAL SPONSORSHIP)</t>
  </si>
  <si>
    <t>SERVICE PROVIDED</t>
  </si>
  <si>
    <t>Name of Mother</t>
  </si>
  <si>
    <t>Skills (Mother)</t>
  </si>
  <si>
    <t>Source of Income (Mother)</t>
  </si>
  <si>
    <t>Individual Livelihood (Mother)</t>
  </si>
  <si>
    <t>Contact Number (Mother)</t>
  </si>
  <si>
    <t>Name of Father</t>
  </si>
  <si>
    <t>Skills (Father)</t>
  </si>
  <si>
    <t>Source of Income (Father)</t>
  </si>
  <si>
    <t>Individual Livelihood (Father)</t>
  </si>
  <si>
    <t>Contact Number (Father)</t>
  </si>
  <si>
    <t>STAUS/REMARKS</t>
  </si>
  <si>
    <t xml:space="preserve">  </t>
  </si>
  <si>
    <t>PSLA STATISTICS</t>
  </si>
  <si>
    <t>Column 3</t>
  </si>
  <si>
    <t>DATA</t>
  </si>
  <si>
    <t>Number of SHGs</t>
  </si>
  <si>
    <t>Number of PSLA Accounts</t>
  </si>
  <si>
    <t>TOTAL SAVINGS (2010 TO 2024)</t>
  </si>
  <si>
    <t>TOTAL MATCHING GRANTS (2010 TO 2024)</t>
  </si>
  <si>
    <t>LOAN INTENTIONS/PURPOSES (PSLA)</t>
  </si>
  <si>
    <t>Column 15</t>
  </si>
  <si>
    <t>JANUARY</t>
  </si>
  <si>
    <t>FEBRUARY</t>
  </si>
  <si>
    <t>MARCH</t>
  </si>
  <si>
    <t>APRIL</t>
  </si>
  <si>
    <t>MAY</t>
  </si>
  <si>
    <t>Column 17</t>
  </si>
  <si>
    <t>JUNE</t>
  </si>
  <si>
    <t>JULY</t>
  </si>
  <si>
    <t>AUGUST</t>
  </si>
  <si>
    <t>SEPTEMBER</t>
  </si>
  <si>
    <t>Column 25</t>
  </si>
  <si>
    <t>OCTOBER</t>
  </si>
  <si>
    <t>NOVEMBER</t>
  </si>
  <si>
    <t>DECEMBER</t>
  </si>
  <si>
    <t>Column 21</t>
  </si>
  <si>
    <t>Column 22</t>
  </si>
  <si>
    <t>Column 23</t>
  </si>
  <si>
    <t>Column 24</t>
  </si>
  <si>
    <t>Column 26</t>
  </si>
  <si>
    <t>Column 19</t>
  </si>
  <si>
    <t>Column 20</t>
  </si>
  <si>
    <t>Column 18</t>
  </si>
  <si>
    <t>Column 27</t>
  </si>
  <si>
    <t>Column 17 2</t>
  </si>
  <si>
    <t>TOTAL</t>
  </si>
  <si>
    <t>New Loans [Members]</t>
  </si>
  <si>
    <t>New Loans [Amount]</t>
  </si>
  <si>
    <t>Reloans [Members]</t>
  </si>
  <si>
    <t>Reloans [Amount]</t>
  </si>
  <si>
    <t>Initial Capital [Members]</t>
  </si>
  <si>
    <t>Initial Capital [Amount]</t>
  </si>
  <si>
    <t>Additional Capital [Members]</t>
  </si>
  <si>
    <t>Emergency Loan/Hospitalization [Members]</t>
  </si>
  <si>
    <t>Emergency Loan/Hospitalization [Amount]</t>
  </si>
  <si>
    <t>Medicine [Members]</t>
  </si>
  <si>
    <t>Medicine [Amount]</t>
  </si>
  <si>
    <t>Home related [Members]</t>
  </si>
  <si>
    <t>Home related [Amount]</t>
  </si>
  <si>
    <t>Education [Members]</t>
  </si>
  <si>
    <t>Education [Amount]</t>
  </si>
  <si>
    <t>Family Needs [Members]</t>
  </si>
  <si>
    <t>Family Needs [Amount]</t>
  </si>
  <si>
    <t>Group livelihood [Members]</t>
  </si>
  <si>
    <t>Group livelihood [Amount]</t>
  </si>
  <si>
    <t>Investment to Coop [Members]</t>
  </si>
  <si>
    <t>Investment to Coop [Amount]</t>
  </si>
  <si>
    <t>OTHER LOAN INTENTIONS</t>
  </si>
  <si>
    <t>CURRENT LOAN DELINQUENCIES (PSLA)</t>
  </si>
  <si>
    <t>Column 4</t>
  </si>
  <si>
    <t>UPDATED AS OF:</t>
  </si>
  <si>
    <t>Number of Members</t>
  </si>
  <si>
    <t>Total Amount</t>
  </si>
  <si>
    <t>MONITORING WITH COOPERATIVES</t>
  </si>
  <si>
    <t>CURRENT NUMBER OF  REGULAR MEMBERS</t>
  </si>
  <si>
    <t>CURRENT NUMBER OF ASSOCIATE MEMBERS</t>
  </si>
  <si>
    <t>CURRENT SHARE CAPITAL</t>
  </si>
  <si>
    <t>INTEREST ON SHARE CAPITAL</t>
  </si>
  <si>
    <t>TOTAL PATRONAGE REFUND</t>
  </si>
  <si>
    <t>ACCOUNTS RECEIVABLES [MEMBERS]</t>
  </si>
  <si>
    <t>ACCOUNTS RECEIVABLES [AMOUNT]</t>
  </si>
  <si>
    <t>ACCOUNTS PAYABLE</t>
  </si>
  <si>
    <t>LOAN RELEASES [MEMBERS]</t>
  </si>
  <si>
    <t>LOAN RELEASES [AMOUNT]</t>
  </si>
  <si>
    <t>Column 14</t>
  </si>
  <si>
    <t>FOR THE YEAR 2025</t>
  </si>
  <si>
    <t>Column 16</t>
  </si>
  <si>
    <t>Column 16 2</t>
  </si>
  <si>
    <t>SAVINGS [MEMBERS]</t>
  </si>
  <si>
    <t>SAVINGS [AMOUNT]</t>
  </si>
  <si>
    <t>MG [MEMBERS]</t>
  </si>
  <si>
    <t>MG [AMOUNT]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</si>
</sst>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vertical="center" wrapText="1"/>
    </xf>
    <xf borderId="0" fillId="2" fontId="2" numFmtId="0" xfId="0" applyFill="1" applyFont="1"/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center" shrinkToFit="0" vertical="center" wrapText="1"/>
    </xf>
    <xf borderId="1" fillId="0" fontId="2" numFmtId="49" xfId="0" applyAlignment="1" applyBorder="1" applyFont="1" applyNumberFormat="1">
      <alignment horizontal="center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" fillId="0" fontId="2" numFmtId="49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0"/>
    </xf>
    <xf borderId="4" fillId="0" fontId="2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164" xfId="0" applyAlignment="1" applyBorder="1" applyFont="1" applyNumberFormat="1">
      <alignment shrinkToFit="0" vertical="center" wrapText="0"/>
    </xf>
    <xf borderId="2" fillId="0" fontId="2" numFmtId="0" xfId="0" applyAlignment="1" applyBorder="1" applyFont="1">
      <alignment horizontal="left" shrinkToFit="0" vertical="center" wrapText="1"/>
    </xf>
    <xf borderId="3" fillId="0" fontId="2" numFmtId="49" xfId="0" applyAlignment="1" applyBorder="1" applyFont="1" applyNumberFormat="1">
      <alignment horizontal="left" shrinkToFit="0" vertical="center" wrapText="0"/>
    </xf>
    <xf borderId="3" fillId="0" fontId="2" numFmtId="0" xfId="0" applyAlignment="1" applyBorder="1" applyFont="1">
      <alignment horizontal="left" shrinkToFit="0" vertical="center" wrapText="0"/>
    </xf>
    <xf borderId="4" fillId="0" fontId="2" numFmtId="0" xfId="0" applyAlignment="1" applyBorder="1" applyFont="1">
      <alignment horizontal="left" shrinkToFit="0" vertical="center" wrapText="0"/>
    </xf>
    <xf borderId="0" fillId="0" fontId="2" numFmtId="0" xfId="0" applyAlignment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5" fillId="0" fontId="2" numFmtId="0" xfId="0" applyAlignment="1" applyBorder="1" applyFont="1">
      <alignment horizontal="center" shrinkToFit="0" vertical="center" wrapText="0"/>
    </xf>
    <xf borderId="6" fillId="0" fontId="2" numFmtId="0" xfId="0" applyAlignment="1" applyBorder="1" applyFont="1">
      <alignment horizontal="center" shrinkToFit="0" vertical="center" wrapText="0"/>
    </xf>
    <xf borderId="7" fillId="0" fontId="2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6">
    <tableStyle count="3" pivot="0" name="CASELOADMASTERLIST-style">
      <tableStyleElement dxfId="1" type="headerRow"/>
      <tableStyleElement dxfId="2" type="firstRowStripe"/>
      <tableStyleElement dxfId="3" type="secondRowStripe"/>
    </tableStyle>
    <tableStyle count="3" pivot="0" name="CASELOADMASTERLIST-style 2">
      <tableStyleElement dxfId="1" type="headerRow"/>
      <tableStyleElement dxfId="2" type="firstRowStripe"/>
      <tableStyleElement dxfId="3" type="secondRowStripe"/>
    </tableStyle>
    <tableStyle count="3" pivot="0" name="CASELOADMASTERLIST-style 3">
      <tableStyleElement dxfId="1" type="headerRow"/>
      <tableStyleElement dxfId="2" type="firstRowStripe"/>
      <tableStyleElement dxfId="3" type="secondRowStripe"/>
    </tableStyle>
    <tableStyle count="3" pivot="0" name="CASELOADMASTERLIST-style 4">
      <tableStyleElement dxfId="1" type="headerRow"/>
      <tableStyleElement dxfId="2" type="firstRowStripe"/>
      <tableStyleElement dxfId="3" type="secondRowStripe"/>
    </tableStyle>
    <tableStyle count="3" pivot="0" name="CASELOADMASTERLIST-style 5">
      <tableStyleElement dxfId="1" type="headerRow"/>
      <tableStyleElement dxfId="2" type="firstRowStripe"/>
      <tableStyleElement dxfId="3" type="secondRowStripe"/>
    </tableStyle>
    <tableStyle count="3" pivot="0" name="CASELOADMASTERLIST-style 6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2:AB50" displayName="Table_1" name="Table_1" id="1">
  <tableColumns count="27">
    <tableColumn name="Column 1" id="1"/>
    <tableColumn name="CATEGORY" id="2"/>
    <tableColumn name="FAMILY NAME" id="3"/>
    <tableColumn name="FIRST NAME" id="4"/>
    <tableColumn name="MIDDLE NAME" id="5"/>
    <tableColumn name="CASE FOLDER NO.  (CH NUMBER)" id="6"/>
    <tableColumn name="GENDER" id="7"/>
    <tableColumn name="AGE" id="8"/>
    <tableColumn name="BIRTHDAY" id="9"/>
    <tableColumn name="SHG" id="10"/>
    <tableColumn name="SPU" id="11"/>
    <tableColumn name="GRADE LEVEL(SC/SY)" id="12"/>
    <tableColumn name="CP Number of the Sponored  Member" id="13"/>
    <tableColumn name="STATUS" id="14"/>
    <tableColumn name="DATE ADMISSION (INITIAL SPONSORSHIP)" id="15"/>
    <tableColumn name="SERVICE PROVIDED" id="16"/>
    <tableColumn name="Name of Mother" id="17"/>
    <tableColumn name="Skills (Mother)" id="18"/>
    <tableColumn name="Source of Income (Mother)" id="19"/>
    <tableColumn name="Individual Livelihood (Mother)" id="20"/>
    <tableColumn name="Contact Number (Mother)" id="21"/>
    <tableColumn name="Name of Father" id="22"/>
    <tableColumn name="Skills (Father)" id="23"/>
    <tableColumn name="Source of Income (Father)" id="24"/>
    <tableColumn name="Individual Livelihood (Father)" id="25"/>
    <tableColumn name="Contact Number (Father)" id="26"/>
    <tableColumn name="STAUS/REMARKS" id="27"/>
  </tableColumns>
  <tableStyleInfo name="CASELOADMASTERLIST-style" showColumnStripes="0" showFirstColumn="1" showLastColumn="1" showRowStripes="1"/>
</table>
</file>

<file path=xl/tables/table2.xml><?xml version="1.0" encoding="utf-8"?>
<table xmlns="http://schemas.openxmlformats.org/spreadsheetml/2006/main" ref="B68:D72" displayName="Table_2" name="Table_2" id="2">
  <tableColumns count="3">
    <tableColumn name="PSLA STATISTICS" id="1"/>
    <tableColumn name="Column 3" id="2"/>
    <tableColumn name="DATA" id="3"/>
  </tableColumns>
  <tableStyleInfo name="CASELOADMASTERLIST-style 2" showColumnStripes="0" showFirstColumn="1" showLastColumn="1" showRowStripes="1"/>
</table>
</file>

<file path=xl/tables/table3.xml><?xml version="1.0" encoding="utf-8"?>
<table xmlns="http://schemas.openxmlformats.org/spreadsheetml/2006/main" ref="B74:AB97" displayName="Table_3" name="Table_3" id="3">
  <tableColumns count="27">
    <tableColumn name="LOAN INTENTIONS/PURPOSES (PSLA)" id="1"/>
    <tableColumn name="Column 15" id="2"/>
    <tableColumn name="JANUARY" id="3"/>
    <tableColumn name="FEBRUARY" id="4"/>
    <tableColumn name="MARCH" id="5"/>
    <tableColumn name="APRIL" id="6"/>
    <tableColumn name="MAY" id="7"/>
    <tableColumn name="Column 17" id="8"/>
    <tableColumn name="JUNE" id="9"/>
    <tableColumn name="JULY" id="10"/>
    <tableColumn name="AUGUST" id="11"/>
    <tableColumn name="SEPTEMBER" id="12"/>
    <tableColumn name="Column 25" id="13"/>
    <tableColumn name="OCTOBER" id="14"/>
    <tableColumn name="NOVEMBER" id="15"/>
    <tableColumn name="DECEMBER" id="16"/>
    <tableColumn name="Column 21" id="17"/>
    <tableColumn name="Column 22" id="18"/>
    <tableColumn name="Column 23" id="19"/>
    <tableColumn name="Column 24" id="20"/>
    <tableColumn name="Column 26" id="21"/>
    <tableColumn name="Column 19" id="22"/>
    <tableColumn name="Column 20" id="23"/>
    <tableColumn name="Column 18" id="24"/>
    <tableColumn name="Column 27" id="25"/>
    <tableColumn name="Column 17 2" id="26"/>
    <tableColumn name="TOTAL" id="27"/>
  </tableColumns>
  <tableStyleInfo name="CASELOADMASTERLIST-style 3" showColumnStripes="0" showFirstColumn="1" showLastColumn="1" showRowStripes="1"/>
</table>
</file>

<file path=xl/tables/table4.xml><?xml version="1.0" encoding="utf-8"?>
<table xmlns="http://schemas.openxmlformats.org/spreadsheetml/2006/main" ref="B99:E101" displayName="Table_4" name="Table_4" id="4">
  <tableColumns count="4">
    <tableColumn name="CURRENT LOAN DELINQUENCIES (PSLA)" id="1"/>
    <tableColumn name="Column 4" id="2"/>
    <tableColumn name="DATA" id="3"/>
    <tableColumn name="UPDATED AS OF:" id="4"/>
  </tableColumns>
  <tableStyleInfo name="CASELOADMASTERLIST-style 4" showColumnStripes="0" showFirstColumn="1" showLastColumn="1" showRowStripes="1"/>
</table>
</file>

<file path=xl/tables/table5.xml><?xml version="1.0" encoding="utf-8"?>
<table xmlns="http://schemas.openxmlformats.org/spreadsheetml/2006/main" ref="B103:E113" displayName="Table_5" name="Table_5" id="5">
  <tableColumns count="4">
    <tableColumn name="MONITORING WITH COOPERATIVES" id="1"/>
    <tableColumn name="Column 4" id="2"/>
    <tableColumn name="DATA" id="3"/>
    <tableColumn name="UPDATED AS OF:" id="4"/>
  </tableColumns>
  <tableStyleInfo name="CASELOADMASTERLIST-style 5" showColumnStripes="0" showFirstColumn="1" showLastColumn="1" showRowStripes="1"/>
</table>
</file>

<file path=xl/tables/table6.xml><?xml version="1.0" encoding="utf-8"?>
<table xmlns="http://schemas.openxmlformats.org/spreadsheetml/2006/main" ref="C115:AB119" displayName="Table_6" name="Table_6" id="6">
  <tableColumns count="26">
    <tableColumn name="Column 14" id="1"/>
    <tableColumn name="FOR THE YEAR 2025" id="2"/>
    <tableColumn name="JANUARY" id="3"/>
    <tableColumn name="FEBRUARY" id="4"/>
    <tableColumn name="MARCH" id="5"/>
    <tableColumn name="APRIL" id="6"/>
    <tableColumn name="Column 16" id="7"/>
    <tableColumn name="MAY" id="8"/>
    <tableColumn name="JUNE" id="9"/>
    <tableColumn name="JULY" id="10"/>
    <tableColumn name="AUGUST" id="11"/>
    <tableColumn name="Column 24" id="12"/>
    <tableColumn name="SEPTEMBER" id="13"/>
    <tableColumn name="OCTOBER" id="14"/>
    <tableColumn name="NOVEMBER" id="15"/>
    <tableColumn name="Column 20" id="16"/>
    <tableColumn name="Column 21" id="17"/>
    <tableColumn name="Column 22" id="18"/>
    <tableColumn name="Column 23" id="19"/>
    <tableColumn name="Column 25" id="20"/>
    <tableColumn name="Column 18" id="21"/>
    <tableColumn name="Column 19" id="22"/>
    <tableColumn name="Column 17" id="23"/>
    <tableColumn name="Column 26" id="24"/>
    <tableColumn name="Column 16 2" id="25"/>
    <tableColumn name="DECEMBER" id="26"/>
  </tableColumns>
  <tableStyleInfo name="CASELOADMASTERLIST-style 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0"/>
    <col customWidth="1" min="2" max="2" width="10.63"/>
    <col customWidth="1" min="3" max="4" width="22.25"/>
    <col customWidth="1" min="5" max="5" width="22.63"/>
    <col customWidth="1" min="6" max="6" width="19.75"/>
    <col customWidth="1" min="7" max="7" width="20.13"/>
    <col customWidth="1" min="8" max="8" width="19.25"/>
    <col customWidth="1" min="9" max="10" width="18.88"/>
    <col customWidth="1" min="11" max="11" width="18.0"/>
    <col customWidth="1" min="12" max="12" width="19.5"/>
    <col customWidth="1" min="13" max="13" width="20.25"/>
    <col customWidth="1" min="14" max="15" width="21.75"/>
    <col customWidth="1" min="16" max="16" width="21.63"/>
    <col customWidth="1" min="17" max="17" width="18.88"/>
    <col customWidth="1" min="18" max="28" width="17.38"/>
  </cols>
  <sheetData>
    <row r="1" ht="15.75" customHeight="1">
      <c r="A1" s="1"/>
      <c r="B1" s="2"/>
      <c r="C1" s="1"/>
      <c r="D1" s="1"/>
      <c r="E1" s="3" t="s">
        <v>0</v>
      </c>
      <c r="AC1" s="1"/>
      <c r="AD1" s="1"/>
      <c r="AE1" s="1"/>
      <c r="AF1" s="1"/>
      <c r="AG1" s="1"/>
      <c r="AH1" s="1"/>
      <c r="AI1" s="1"/>
      <c r="AJ1" s="1"/>
      <c r="AK1" s="1"/>
      <c r="AL1" s="1"/>
    </row>
    <row r="2" ht="15.75" customHeight="1">
      <c r="A2" s="4"/>
      <c r="B2" s="5" t="s">
        <v>1</v>
      </c>
      <c r="C2" s="6" t="s">
        <v>2</v>
      </c>
      <c r="D2" s="7" t="s">
        <v>3</v>
      </c>
      <c r="E2" s="7" t="s">
        <v>4</v>
      </c>
      <c r="F2" s="7" t="s">
        <v>5</v>
      </c>
      <c r="G2" s="5" t="s">
        <v>6</v>
      </c>
      <c r="H2" s="7" t="s">
        <v>7</v>
      </c>
      <c r="I2" s="6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8" t="s">
        <v>13</v>
      </c>
      <c r="O2" s="7" t="s">
        <v>14</v>
      </c>
      <c r="P2" s="5" t="s">
        <v>15</v>
      </c>
      <c r="Q2" s="5" t="s">
        <v>16</v>
      </c>
      <c r="R2" s="6" t="s">
        <v>17</v>
      </c>
      <c r="S2" s="6" t="s">
        <v>18</v>
      </c>
      <c r="T2" s="8" t="s">
        <v>19</v>
      </c>
      <c r="U2" s="8" t="s">
        <v>20</v>
      </c>
      <c r="V2" s="8" t="s">
        <v>21</v>
      </c>
      <c r="W2" s="6" t="s">
        <v>22</v>
      </c>
      <c r="X2" s="6" t="s">
        <v>23</v>
      </c>
      <c r="Y2" s="8" t="s">
        <v>24</v>
      </c>
      <c r="Z2" s="8" t="s">
        <v>25</v>
      </c>
      <c r="AA2" s="8" t="s">
        <v>26</v>
      </c>
      <c r="AB2" s="7" t="s">
        <v>27</v>
      </c>
      <c r="AC2" s="4"/>
      <c r="AD2" s="4"/>
      <c r="AE2" s="4"/>
      <c r="AF2" s="4"/>
      <c r="AG2" s="4"/>
      <c r="AH2" s="4"/>
      <c r="AI2" s="4"/>
      <c r="AJ2" s="4"/>
      <c r="AK2" s="4"/>
      <c r="AL2" s="4"/>
    </row>
    <row r="3" ht="15.75" customHeight="1">
      <c r="A3" s="1"/>
      <c r="B3" s="9">
        <v>1.0</v>
      </c>
      <c r="C3" s="10"/>
      <c r="D3" s="10" t="s">
        <v>28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ht="15.75" customHeight="1">
      <c r="A4" s="1"/>
      <c r="B4" s="9">
        <v>2.0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ht="15.75" customHeight="1">
      <c r="A5" s="1"/>
      <c r="B5" s="9">
        <v>3.0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ht="15.75" customHeight="1">
      <c r="A6" s="1"/>
      <c r="B6" s="9">
        <v>4.0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ht="15.75" customHeight="1">
      <c r="A7" s="1"/>
      <c r="B7" s="9">
        <v>5.0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ht="15.75" customHeight="1">
      <c r="A8" s="1"/>
      <c r="B8" s="9">
        <v>6.0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ht="15.75" customHeight="1">
      <c r="A9" s="1"/>
      <c r="B9" s="9">
        <v>7.0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ht="15.75" customHeight="1">
      <c r="A10" s="1"/>
      <c r="B10" s="9">
        <v>8.0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ht="15.75" customHeight="1">
      <c r="A11" s="1"/>
      <c r="B11" s="9">
        <v>9.0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ht="15.75" customHeight="1">
      <c r="A12" s="1"/>
      <c r="B12" s="9">
        <v>10.0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ht="15.75" customHeight="1">
      <c r="A13" s="1"/>
      <c r="B13" s="9">
        <v>11.0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ht="15.75" customHeight="1">
      <c r="A14" s="1"/>
      <c r="B14" s="9">
        <v>12.0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ht="15.75" customHeight="1">
      <c r="A15" s="1"/>
      <c r="B15" s="9">
        <v>13.0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ht="15.75" customHeight="1">
      <c r="A16" s="1"/>
      <c r="B16" s="9">
        <v>14.0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ht="15.75" customHeight="1">
      <c r="A17" s="1"/>
      <c r="B17" s="9">
        <v>15.0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ht="15.75" customHeight="1">
      <c r="A18" s="1"/>
      <c r="B18" s="9">
        <v>16.0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ht="15.75" customHeight="1">
      <c r="A19" s="1"/>
      <c r="B19" s="9">
        <v>17.0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ht="15.75" customHeight="1">
      <c r="A20" s="1"/>
      <c r="B20" s="9">
        <v>18.0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ht="15.75" customHeight="1">
      <c r="A21" s="1"/>
      <c r="B21" s="9">
        <v>19.0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ht="15.75" customHeight="1">
      <c r="A22" s="1"/>
      <c r="B22" s="9">
        <v>20.0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ht="15.75" customHeight="1">
      <c r="A23" s="1"/>
      <c r="B23" s="9">
        <v>21.0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ht="15.75" customHeight="1">
      <c r="A24" s="1"/>
      <c r="B24" s="9">
        <v>22.0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ht="15.75" customHeight="1">
      <c r="A25" s="1"/>
      <c r="B25" s="9">
        <v>23.0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ht="15.75" customHeight="1">
      <c r="A26" s="1"/>
      <c r="B26" s="9">
        <v>24.0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ht="15.75" customHeight="1">
      <c r="A27" s="1"/>
      <c r="B27" s="9">
        <v>25.0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ht="15.75" customHeight="1">
      <c r="A28" s="1"/>
      <c r="B28" s="9">
        <v>26.0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ht="15.75" customHeight="1">
      <c r="A29" s="1"/>
      <c r="B29" s="9">
        <v>27.0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ht="15.75" customHeight="1">
      <c r="A30" s="1"/>
      <c r="B30" s="9">
        <v>28.0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ht="15.75" customHeight="1">
      <c r="A31" s="1"/>
      <c r="B31" s="9">
        <v>29.0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ht="15.75" customHeight="1">
      <c r="A32" s="1"/>
      <c r="B32" s="9">
        <v>30.0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ht="15.75" customHeight="1">
      <c r="A33" s="1"/>
      <c r="B33" s="9">
        <v>31.0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ht="15.75" customHeight="1">
      <c r="A34" s="1"/>
      <c r="B34" s="9">
        <v>32.0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ht="15.75" customHeight="1">
      <c r="A35" s="1"/>
      <c r="B35" s="9">
        <v>33.0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ht="15.75" customHeight="1">
      <c r="A36" s="1"/>
      <c r="B36" s="9">
        <v>34.0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ht="15.75" customHeight="1">
      <c r="A37" s="1"/>
      <c r="B37" s="9">
        <v>35.0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ht="15.75" customHeight="1">
      <c r="A38" s="1"/>
      <c r="B38" s="9">
        <v>36.0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ht="15.75" customHeight="1">
      <c r="A39" s="1"/>
      <c r="B39" s="9">
        <v>37.0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ht="15.75" customHeight="1">
      <c r="A40" s="1"/>
      <c r="B40" s="9">
        <v>38.0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ht="15.75" customHeight="1">
      <c r="A41" s="1"/>
      <c r="B41" s="9">
        <v>39.0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ht="15.75" customHeight="1">
      <c r="A42" s="1"/>
      <c r="B42" s="9">
        <v>40.0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ht="15.75" customHeight="1">
      <c r="A43" s="1"/>
      <c r="B43" s="9">
        <v>41.0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ht="15.75" customHeight="1">
      <c r="A44" s="1"/>
      <c r="B44" s="9">
        <v>42.0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ht="15.75" customHeight="1">
      <c r="A45" s="1"/>
      <c r="B45" s="9">
        <v>43.0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ht="15.75" customHeight="1">
      <c r="A46" s="1"/>
      <c r="B46" s="9">
        <v>44.0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ht="15.75" customHeight="1">
      <c r="A47" s="1"/>
      <c r="B47" s="9">
        <v>45.0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ht="15.75" customHeight="1">
      <c r="A48" s="1"/>
      <c r="B48" s="9">
        <v>46.0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ht="15.75" customHeight="1">
      <c r="A49" s="1"/>
      <c r="B49" s="9">
        <v>47.0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ht="15.75" customHeight="1">
      <c r="A50" s="1"/>
      <c r="B50" s="9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ht="15.7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ht="15.7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ht="15.7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ht="15.7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ht="15.7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ht="15.7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ht="15.7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ht="15.7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ht="15.7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ht="15.7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ht="15.7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ht="15.7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ht="15.7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ht="15.7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ht="15.7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ht="15.7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ht="15.7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ht="15.75" customHeight="1">
      <c r="A68" s="1"/>
      <c r="B68" s="11" t="s">
        <v>29</v>
      </c>
      <c r="C68" s="12" t="s">
        <v>30</v>
      </c>
      <c r="D68" s="13" t="s">
        <v>31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ht="15.75" customHeight="1">
      <c r="A69" s="1"/>
      <c r="B69" s="14" t="s">
        <v>32</v>
      </c>
      <c r="C69" s="10"/>
      <c r="D69" s="10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ht="15.75" customHeight="1">
      <c r="A70" s="1"/>
      <c r="B70" s="14" t="s">
        <v>33</v>
      </c>
      <c r="C70" s="10"/>
      <c r="D70" s="10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ht="15.75" customHeight="1">
      <c r="A71" s="1"/>
      <c r="B71" s="14" t="s">
        <v>34</v>
      </c>
      <c r="C71" s="10"/>
      <c r="D71" s="10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ht="15.75" customHeight="1">
      <c r="A72" s="1"/>
      <c r="B72" s="14" t="s">
        <v>35</v>
      </c>
      <c r="C72" s="10"/>
      <c r="D72" s="10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ht="15.7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ht="15.75" customHeight="1">
      <c r="A74" s="4"/>
      <c r="B74" s="5" t="s">
        <v>36</v>
      </c>
      <c r="C74" s="6" t="s">
        <v>37</v>
      </c>
      <c r="D74" s="7" t="s">
        <v>38</v>
      </c>
      <c r="E74" s="7" t="s">
        <v>39</v>
      </c>
      <c r="F74" s="7" t="s">
        <v>40</v>
      </c>
      <c r="G74" s="7" t="s">
        <v>41</v>
      </c>
      <c r="H74" s="7" t="s">
        <v>42</v>
      </c>
      <c r="I74" s="6" t="s">
        <v>43</v>
      </c>
      <c r="J74" s="7" t="s">
        <v>44</v>
      </c>
      <c r="K74" s="7" t="s">
        <v>45</v>
      </c>
      <c r="L74" s="7" t="s">
        <v>46</v>
      </c>
      <c r="M74" s="7" t="s">
        <v>47</v>
      </c>
      <c r="N74" s="6" t="s">
        <v>48</v>
      </c>
      <c r="O74" s="7" t="s">
        <v>49</v>
      </c>
      <c r="P74" s="7" t="s">
        <v>50</v>
      </c>
      <c r="Q74" s="7" t="s">
        <v>51</v>
      </c>
      <c r="R74" s="6" t="s">
        <v>52</v>
      </c>
      <c r="S74" s="6" t="s">
        <v>53</v>
      </c>
      <c r="T74" s="6" t="s">
        <v>54</v>
      </c>
      <c r="U74" s="6" t="s">
        <v>55</v>
      </c>
      <c r="V74" s="6" t="s">
        <v>56</v>
      </c>
      <c r="W74" s="6" t="s">
        <v>57</v>
      </c>
      <c r="X74" s="6" t="s">
        <v>58</v>
      </c>
      <c r="Y74" s="6" t="s">
        <v>59</v>
      </c>
      <c r="Z74" s="6" t="s">
        <v>60</v>
      </c>
      <c r="AA74" s="6" t="s">
        <v>61</v>
      </c>
      <c r="AB74" s="7" t="s">
        <v>62</v>
      </c>
      <c r="AC74" s="4"/>
      <c r="AD74" s="4"/>
      <c r="AE74" s="4"/>
      <c r="AF74" s="4"/>
      <c r="AG74" s="4"/>
      <c r="AH74" s="4"/>
      <c r="AI74" s="4"/>
      <c r="AJ74" s="4"/>
      <c r="AK74" s="4"/>
      <c r="AL74" s="4"/>
    </row>
    <row r="75" ht="15.75" customHeight="1">
      <c r="A75" s="1"/>
      <c r="B75" s="9" t="s">
        <v>63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>
        <f t="shared" ref="AB75:AB97" si="1">SUM(D75:Q75)</f>
        <v>0</v>
      </c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ht="15.75" customHeight="1">
      <c r="A76" s="1"/>
      <c r="B76" s="9" t="s">
        <v>64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>
        <f t="shared" si="1"/>
        <v>0</v>
      </c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ht="15.75" customHeight="1">
      <c r="A77" s="1"/>
      <c r="B77" s="9" t="s">
        <v>65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>
        <f t="shared" si="1"/>
        <v>0</v>
      </c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ht="15.75" customHeight="1">
      <c r="A78" s="1"/>
      <c r="B78" s="9" t="s">
        <v>66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>
        <f t="shared" si="1"/>
        <v>0</v>
      </c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ht="15.75" customHeight="1">
      <c r="A79" s="1"/>
      <c r="B79" s="9" t="s">
        <v>67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>
        <f t="shared" si="1"/>
        <v>0</v>
      </c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ht="15.75" customHeight="1">
      <c r="A80" s="1"/>
      <c r="B80" s="9" t="s">
        <v>68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>
        <f t="shared" si="1"/>
        <v>0</v>
      </c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ht="15.75" customHeight="1">
      <c r="A81" s="1"/>
      <c r="B81" s="9" t="s">
        <v>69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>
        <f t="shared" si="1"/>
        <v>0</v>
      </c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ht="15.75" customHeight="1">
      <c r="A82" s="1"/>
      <c r="B82" s="9" t="s">
        <v>69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>
        <f t="shared" si="1"/>
        <v>0</v>
      </c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ht="15.75" customHeight="1">
      <c r="A83" s="1"/>
      <c r="B83" s="9" t="s">
        <v>70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>
        <f t="shared" si="1"/>
        <v>0</v>
      </c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ht="15.75" customHeight="1">
      <c r="A84" s="1"/>
      <c r="B84" s="9" t="s">
        <v>71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>
        <f t="shared" si="1"/>
        <v>0</v>
      </c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ht="15.75" customHeight="1">
      <c r="A85" s="1"/>
      <c r="B85" s="9" t="s">
        <v>72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>
        <f t="shared" si="1"/>
        <v>0</v>
      </c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ht="15.75" customHeight="1">
      <c r="A86" s="1"/>
      <c r="B86" s="9" t="s">
        <v>73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>
        <f t="shared" si="1"/>
        <v>0</v>
      </c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ht="15.75" customHeight="1">
      <c r="A87" s="1"/>
      <c r="B87" s="9" t="s">
        <v>74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>
        <f t="shared" si="1"/>
        <v>0</v>
      </c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ht="15.75" customHeight="1">
      <c r="A88" s="1"/>
      <c r="B88" s="9" t="s">
        <v>75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>
        <f t="shared" si="1"/>
        <v>0</v>
      </c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ht="15.75" customHeight="1">
      <c r="A89" s="1"/>
      <c r="B89" s="9" t="s">
        <v>76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>
        <f t="shared" si="1"/>
        <v>0</v>
      </c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ht="15.75" customHeight="1">
      <c r="A90" s="1"/>
      <c r="B90" s="9" t="s">
        <v>77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>
        <f t="shared" si="1"/>
        <v>0</v>
      </c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ht="15.75" customHeight="1">
      <c r="A91" s="1"/>
      <c r="B91" s="9" t="s">
        <v>78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>
        <f t="shared" si="1"/>
        <v>0</v>
      </c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ht="15.75" customHeight="1">
      <c r="A92" s="1"/>
      <c r="B92" s="9" t="s">
        <v>79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>
        <f t="shared" si="1"/>
        <v>0</v>
      </c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ht="15.75" customHeight="1">
      <c r="A93" s="1"/>
      <c r="B93" s="9" t="s">
        <v>80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>
        <f t="shared" si="1"/>
        <v>0</v>
      </c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ht="15.75" customHeight="1">
      <c r="A94" s="1"/>
      <c r="B94" s="9" t="s">
        <v>81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>
        <f t="shared" si="1"/>
        <v>0</v>
      </c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ht="15.75" customHeight="1">
      <c r="A95" s="1"/>
      <c r="B95" s="9" t="s">
        <v>82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>
        <f t="shared" si="1"/>
        <v>0</v>
      </c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ht="15.75" customHeight="1">
      <c r="A96" s="1"/>
      <c r="B96" s="9" t="s">
        <v>83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>
        <f t="shared" si="1"/>
        <v>0</v>
      </c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ht="15.75" customHeight="1">
      <c r="A97" s="1"/>
      <c r="B97" s="9" t="s">
        <v>84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>
        <f t="shared" si="1"/>
        <v>0</v>
      </c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ht="15.7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ht="15.75" customHeight="1">
      <c r="A99" s="4"/>
      <c r="B99" s="11" t="s">
        <v>85</v>
      </c>
      <c r="C99" s="12" t="s">
        <v>86</v>
      </c>
      <c r="D99" s="12" t="s">
        <v>31</v>
      </c>
      <c r="E99" s="13" t="s">
        <v>87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</row>
    <row r="100" ht="15.75" customHeight="1">
      <c r="A100" s="1"/>
      <c r="B100" s="9" t="s">
        <v>88</v>
      </c>
      <c r="C100" s="10"/>
      <c r="D100" s="10"/>
      <c r="E100" s="15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ht="15.75" customHeight="1">
      <c r="A101" s="1"/>
      <c r="B101" s="9" t="s">
        <v>89</v>
      </c>
      <c r="C101" s="10"/>
      <c r="D101" s="10"/>
      <c r="E101" s="15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ht="15.7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ht="15.75" customHeight="1">
      <c r="A103" s="1"/>
      <c r="B103" s="16" t="s">
        <v>90</v>
      </c>
      <c r="C103" s="17" t="s">
        <v>86</v>
      </c>
      <c r="D103" s="18" t="s">
        <v>31</v>
      </c>
      <c r="E103" s="19" t="s">
        <v>87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ht="15.75" customHeight="1">
      <c r="A104" s="1"/>
      <c r="B104" s="9" t="s">
        <v>91</v>
      </c>
      <c r="C104" s="10"/>
      <c r="D104" s="10"/>
      <c r="E104" s="10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ht="15.75" customHeight="1">
      <c r="A105" s="1"/>
      <c r="B105" s="9" t="s">
        <v>92</v>
      </c>
      <c r="C105" s="10"/>
      <c r="D105" s="10"/>
      <c r="E105" s="10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ht="15.75" customHeight="1">
      <c r="A106" s="1"/>
      <c r="B106" s="9" t="s">
        <v>93</v>
      </c>
      <c r="C106" s="10"/>
      <c r="D106" s="10"/>
      <c r="E106" s="10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ht="15.75" customHeight="1">
      <c r="A107" s="1"/>
      <c r="B107" s="9" t="s">
        <v>94</v>
      </c>
      <c r="C107" s="10"/>
      <c r="D107" s="10"/>
      <c r="E107" s="10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ht="15.75" customHeight="1">
      <c r="A108" s="1"/>
      <c r="B108" s="9" t="s">
        <v>95</v>
      </c>
      <c r="C108" s="10"/>
      <c r="D108" s="10"/>
      <c r="E108" s="10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ht="15.75" customHeight="1">
      <c r="A109" s="1"/>
      <c r="B109" s="9" t="s">
        <v>96</v>
      </c>
      <c r="C109" s="10"/>
      <c r="D109" s="10"/>
      <c r="E109" s="10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ht="15.75" customHeight="1">
      <c r="A110" s="1"/>
      <c r="B110" s="9" t="s">
        <v>97</v>
      </c>
      <c r="C110" s="10"/>
      <c r="D110" s="10"/>
      <c r="E110" s="10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ht="15.75" customHeight="1">
      <c r="A111" s="1"/>
      <c r="B111" s="9" t="s">
        <v>98</v>
      </c>
      <c r="C111" s="10"/>
      <c r="D111" s="10"/>
      <c r="E111" s="10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ht="15.75" customHeight="1">
      <c r="A112" s="1"/>
      <c r="B112" s="9" t="s">
        <v>99</v>
      </c>
      <c r="C112" s="10"/>
      <c r="D112" s="10"/>
      <c r="E112" s="10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ht="15.75" customHeight="1">
      <c r="A113" s="1"/>
      <c r="B113" s="9" t="s">
        <v>100</v>
      </c>
      <c r="C113" s="10"/>
      <c r="D113" s="10"/>
      <c r="E113" s="10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ht="15.7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ht="15.75" customHeight="1">
      <c r="A115" s="4"/>
      <c r="B115" s="20"/>
      <c r="C115" s="21" t="s">
        <v>101</v>
      </c>
      <c r="D115" s="22" t="s">
        <v>102</v>
      </c>
      <c r="E115" s="7" t="s">
        <v>38</v>
      </c>
      <c r="F115" s="7" t="s">
        <v>39</v>
      </c>
      <c r="G115" s="7" t="s">
        <v>40</v>
      </c>
      <c r="H115" s="7" t="s">
        <v>41</v>
      </c>
      <c r="I115" s="6" t="s">
        <v>103</v>
      </c>
      <c r="J115" s="7" t="s">
        <v>42</v>
      </c>
      <c r="K115" s="7" t="s">
        <v>44</v>
      </c>
      <c r="L115" s="7" t="s">
        <v>45</v>
      </c>
      <c r="M115" s="7" t="s">
        <v>46</v>
      </c>
      <c r="N115" s="6" t="s">
        <v>55</v>
      </c>
      <c r="O115" s="7" t="s">
        <v>47</v>
      </c>
      <c r="P115" s="7" t="s">
        <v>49</v>
      </c>
      <c r="Q115" s="7" t="s">
        <v>50</v>
      </c>
      <c r="R115" s="6" t="s">
        <v>58</v>
      </c>
      <c r="S115" s="6" t="s">
        <v>52</v>
      </c>
      <c r="T115" s="6" t="s">
        <v>53</v>
      </c>
      <c r="U115" s="6" t="s">
        <v>54</v>
      </c>
      <c r="V115" s="6" t="s">
        <v>48</v>
      </c>
      <c r="W115" s="6" t="s">
        <v>59</v>
      </c>
      <c r="X115" s="6" t="s">
        <v>57</v>
      </c>
      <c r="Y115" s="6" t="s">
        <v>43</v>
      </c>
      <c r="Z115" s="6" t="s">
        <v>56</v>
      </c>
      <c r="AA115" s="6" t="s">
        <v>104</v>
      </c>
      <c r="AB115" s="7" t="s">
        <v>51</v>
      </c>
      <c r="AC115" s="4"/>
      <c r="AD115" s="4"/>
      <c r="AE115" s="4"/>
      <c r="AF115" s="4"/>
      <c r="AG115" s="4"/>
      <c r="AH115" s="4"/>
      <c r="AI115" s="4"/>
      <c r="AJ115" s="4"/>
      <c r="AK115" s="4"/>
      <c r="AL115" s="4"/>
    </row>
    <row r="116" ht="15.75" customHeight="1">
      <c r="A116" s="1"/>
      <c r="B116" s="2"/>
      <c r="C116" s="23"/>
      <c r="D116" s="7" t="s">
        <v>105</v>
      </c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ht="15.75" customHeight="1">
      <c r="A117" s="1"/>
      <c r="B117" s="2"/>
      <c r="C117" s="24"/>
      <c r="D117" s="7" t="s">
        <v>106</v>
      </c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ht="15.75" customHeight="1">
      <c r="A118" s="1"/>
      <c r="B118" s="2"/>
      <c r="C118" s="23"/>
      <c r="D118" s="7" t="s">
        <v>107</v>
      </c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ht="15.75" customHeight="1">
      <c r="A119" s="1"/>
      <c r="B119" s="2"/>
      <c r="C119" s="25"/>
      <c r="D119" s="7" t="s">
        <v>108</v>
      </c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ht="15.7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ht="15.7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ht="15.7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ht="15.7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ht="15.7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ht="15.7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ht="15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ht="15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ht="15.7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ht="15.7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ht="15.7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ht="15.7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ht="15.7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ht="15.7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ht="15.7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ht="15.7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ht="15.7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ht="15.7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ht="15.7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ht="15.7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ht="15.7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ht="15.7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ht="15.7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ht="15.7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ht="15.7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ht="15.7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ht="15.7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ht="15.7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ht="15.7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ht="15.7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ht="15.7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ht="15.7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ht="15.7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ht="15.7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ht="15.7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ht="15.7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ht="15.7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ht="15.7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ht="15.7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ht="15.7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ht="15.7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ht="15.7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ht="15.7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ht="15.7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ht="15.7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ht="15.7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ht="15.7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ht="15.7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ht="15.7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ht="15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ht="15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ht="15.7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ht="15.7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ht="15.7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ht="15.7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ht="15.7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ht="15.7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ht="15.7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ht="15.7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ht="15.7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ht="15.7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ht="15.7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ht="15.7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ht="15.7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ht="15.7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ht="15.7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ht="15.7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ht="15.7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ht="15.7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ht="15.7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ht="15.7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ht="15.7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ht="15.7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ht="15.7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ht="15.7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ht="15.7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ht="15.7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ht="15.7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ht="15.7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ht="15.7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ht="15.7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ht="15.7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ht="15.7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ht="15.7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ht="15.7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ht="15.7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ht="15.7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ht="15.7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ht="15.7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ht="15.7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ht="15.7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ht="15.7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ht="15.7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ht="15.7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ht="15.7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ht="15.7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ht="15.7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ht="15.7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ht="15.7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ht="15.7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ht="15.7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ht="15.7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ht="15.7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ht="15.7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ht="15.7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ht="15.7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ht="15.75" customHeight="1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ht="15.75" customHeight="1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ht="15.75" customHeight="1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ht="15.75" customHeight="1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ht="15.75" customHeight="1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ht="15.75" customHeight="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ht="15.75" customHeight="1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ht="15.75" customHeight="1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ht="15.75" customHeight="1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ht="15.75" customHeight="1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ht="15.75" customHeight="1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ht="15.75" customHeight="1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ht="15.75" customHeight="1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ht="15.75" customHeight="1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ht="15.75" customHeight="1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ht="15.75" customHeight="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ht="15.75" customHeight="1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ht="15.75" customHeight="1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ht="15.75" customHeight="1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ht="15.75" customHeight="1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ht="15.75" customHeight="1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ht="15.75" customHeight="1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ht="15.75" customHeight="1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ht="15.75" customHeight="1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ht="15.75" customHeight="1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ht="15.75" customHeight="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ht="15.75" customHeight="1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ht="15.75" customHeight="1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ht="15.75" customHeight="1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ht="15.75" customHeight="1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ht="15.75" customHeight="1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ht="15.75" customHeight="1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ht="15.75" customHeight="1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ht="15.75" customHeight="1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ht="15.75" customHeight="1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ht="15.75" customHeight="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ht="15.75" customHeight="1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ht="15.75" customHeight="1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ht="15.75" customHeight="1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ht="15.75" customHeight="1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ht="15.75" customHeight="1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ht="15.75" customHeight="1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ht="15.75" customHeight="1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ht="15.75" customHeight="1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ht="15.75" customHeight="1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ht="15.75" customHeight="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ht="15.75" customHeight="1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ht="15.75" customHeight="1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ht="15.75" customHeight="1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ht="15.75" customHeight="1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ht="15.75" customHeight="1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ht="15.75" customHeight="1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ht="15.75" customHeight="1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ht="15.75" customHeight="1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ht="15.75" customHeight="1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ht="15.75" customHeight="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ht="15.75" customHeight="1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ht="15.75" customHeight="1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ht="15.75" customHeight="1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ht="15.75" customHeight="1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ht="15.75" customHeight="1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ht="15.75" customHeight="1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ht="15.75" customHeight="1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ht="15.75" customHeight="1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ht="15.75" customHeight="1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ht="15.75" customHeight="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ht="15.75" customHeight="1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ht="15.75" customHeight="1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ht="15.75" customHeight="1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ht="15.75" customHeight="1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ht="15.75" customHeight="1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ht="15.75" customHeight="1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ht="15.75" customHeight="1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ht="15.75" customHeight="1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ht="15.75" customHeight="1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ht="15.75" customHeight="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ht="15.75" customHeight="1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ht="15.75" customHeight="1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ht="15.75" customHeight="1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ht="15.75" customHeight="1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ht="15.75" customHeight="1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ht="15.75" customHeight="1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ht="15.75" customHeight="1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ht="15.75" customHeight="1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ht="15.75" customHeight="1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ht="15.75" customHeight="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ht="15.75" customHeight="1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ht="15.75" customHeight="1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ht="15.75" customHeight="1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ht="15.75" customHeight="1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ht="15.75" customHeight="1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ht="15.75" customHeight="1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ht="15.75" customHeight="1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ht="15.75" customHeight="1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">
    <mergeCell ref="E1:AB1"/>
  </mergeCells>
  <dataValidations>
    <dataValidation type="list" allowBlank="1" sqref="C3:C50">
      <formula1>"SC,SY,OLDER ADULT"</formula1>
    </dataValidation>
    <dataValidation type="list" allowBlank="1" sqref="M3:M50">
      <formula1>"DAY CARE,KINDER/PREPARATORY,GRADE 1,GRADE2,GRADE 3,GRADE 4,GRADE 5,GRADE 6,GRADE 7,GRADE 8,GRADE 9,GRADE 10,GRADE 11,GRADE 12,1ST YEAR,2ND YEAR,3RD YEAR,4TH YEAR,5TH YEAR,OSY,TECH VOC,SPED"</formula1>
    </dataValidation>
    <dataValidation type="list" allowBlank="1" sqref="O3:O50">
      <formula1>"ACTIVE,INACTIVE,FOR INTERVENTION,FOR TERMINATION,MOVE OUT"</formula1>
    </dataValidation>
    <dataValidation type="custom" allowBlank="1" showDropDown="1" sqref="E100:E101">
      <formula1>OR(NOT(ISERROR(DATEVALUE(E100))), AND(ISNUMBER(E100), LEFT(CELL("format", E100))="D"))</formula1>
    </dataValidation>
    <dataValidation type="custom" allowBlank="1" showDropDown="1" sqref="D3:G50 J3:L50 P3:Q50 AB3:AB50 D69:D72 D75:H97 J75:M97 O75:Q97 D100:D101 E116:H119 J116:M119 O116:Q119 AB116:AB119">
      <formula1>AND(ISNUMBER(D3),(NOT(OR(NOT(ISERROR(DATEVALUE(D3))), AND(ISNUMBER(D3), LEFT(CELL("format", D3))="D")))))</formula1>
    </dataValidation>
    <dataValidation type="list" allowBlank="1" sqref="H3:H50">
      <formula1>"MALE,FEMALE"</formula1>
    </dataValidation>
  </dataValidations>
  <drawing r:id="rId1"/>
  <tableParts count="6">
    <tablePart r:id="rId8"/>
    <tablePart r:id="rId9"/>
    <tablePart r:id="rId10"/>
    <tablePart r:id="rId11"/>
    <tablePart r:id="rId12"/>
    <tablePart r:id="rId13"/>
  </tableParts>
</worksheet>
</file>